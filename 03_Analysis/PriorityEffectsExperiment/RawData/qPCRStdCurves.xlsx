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gr_Engel/lab_resources/Protocols/qPCR/qPCR_analysis_workflow/StdCurves/"/>
    </mc:Choice>
  </mc:AlternateContent>
  <xr:revisionPtr revIDLastSave="0" documentId="13_ncr:1_{2F3C1799-B3E1-B34C-AB47-31B73DFE2375}" xr6:coauthVersionLast="47" xr6:coauthVersionMax="47" xr10:uidLastSave="{00000000-0000-0000-0000-000000000000}"/>
  <bookViews>
    <workbookView xWindow="0" yWindow="500" windowWidth="26780" windowHeight="15940" tabRatio="500" xr2:uid="{00000000-000D-0000-FFFF-FFFF00000000}"/>
  </bookViews>
  <sheets>
    <sheet name="StCurves QS5 Berta" sheetId="1" r:id="rId1"/>
    <sheet name="Berta_2022" sheetId="6" r:id="rId2"/>
    <sheet name="Berta_2017" sheetId="3" r:id="rId3"/>
    <sheet name="384Vonaesh_2022" sheetId="8" r:id="rId4"/>
    <sheet name="StCurves Bellinda" sheetId="7" r:id="rId5"/>
    <sheet name="Bellinda_2017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2" i="1"/>
  <c r="L16" i="6" a="1"/>
  <c r="L16" i="6" s="1"/>
  <c r="K16" i="6" a="1"/>
  <c r="K16" i="6" s="1"/>
  <c r="L12" i="6" a="1"/>
  <c r="L12" i="6" s="1"/>
  <c r="G106" i="8"/>
  <c r="F106" i="8"/>
  <c r="G105" i="8"/>
  <c r="F105" i="8"/>
  <c r="L8" i="8" s="1"/>
  <c r="G104" i="8"/>
  <c r="F104" i="8"/>
  <c r="G103" i="8"/>
  <c r="F103" i="8"/>
  <c r="L6" i="8" s="1"/>
  <c r="G102" i="8"/>
  <c r="F102" i="8"/>
  <c r="G101" i="8"/>
  <c r="F101" i="8"/>
  <c r="L4" i="8" s="1"/>
  <c r="G100" i="8"/>
  <c r="F100" i="8"/>
  <c r="B100" i="8"/>
  <c r="B101" i="8" s="1"/>
  <c r="B102" i="8" s="1"/>
  <c r="B103" i="8" s="1"/>
  <c r="B104" i="8" s="1"/>
  <c r="B105" i="8" s="1"/>
  <c r="G99" i="8"/>
  <c r="F99" i="8"/>
  <c r="G98" i="8"/>
  <c r="F98" i="8"/>
  <c r="G97" i="8"/>
  <c r="F97" i="8"/>
  <c r="G96" i="8"/>
  <c r="F96" i="8"/>
  <c r="G95" i="8"/>
  <c r="F95" i="8"/>
  <c r="G94" i="8"/>
  <c r="F94" i="8"/>
  <c r="G93" i="8"/>
  <c r="F93" i="8"/>
  <c r="B93" i="8"/>
  <c r="B94" i="8" s="1"/>
  <c r="B95" i="8" s="1"/>
  <c r="B96" i="8" s="1"/>
  <c r="B97" i="8" s="1"/>
  <c r="G92" i="8"/>
  <c r="F92" i="8"/>
  <c r="K3" i="8" s="1"/>
  <c r="B92" i="8"/>
  <c r="G91" i="8"/>
  <c r="F91" i="8"/>
  <c r="G90" i="8"/>
  <c r="F90" i="8"/>
  <c r="G89" i="8"/>
  <c r="F89" i="8"/>
  <c r="G88" i="8"/>
  <c r="F88" i="8"/>
  <c r="G87" i="8"/>
  <c r="F87" i="8"/>
  <c r="G86" i="8"/>
  <c r="F86" i="8"/>
  <c r="G85" i="8"/>
  <c r="F85" i="8"/>
  <c r="G84" i="8"/>
  <c r="F84" i="8"/>
  <c r="B84" i="8"/>
  <c r="B85" i="8" s="1"/>
  <c r="B86" i="8" s="1"/>
  <c r="B87" i="8" s="1"/>
  <c r="B88" i="8" s="1"/>
  <c r="B89" i="8" s="1"/>
  <c r="G83" i="8"/>
  <c r="F83" i="8"/>
  <c r="J2" i="8" s="1"/>
  <c r="G82" i="8"/>
  <c r="F82" i="8"/>
  <c r="G81" i="8"/>
  <c r="F81" i="8"/>
  <c r="I8" i="8" s="1"/>
  <c r="G80" i="8"/>
  <c r="F80" i="8"/>
  <c r="G79" i="8"/>
  <c r="F79" i="8"/>
  <c r="I6" i="8" s="1"/>
  <c r="G78" i="8"/>
  <c r="F78" i="8"/>
  <c r="G77" i="8"/>
  <c r="F77" i="8"/>
  <c r="I4" i="8" s="1"/>
  <c r="B77" i="8"/>
  <c r="B78" i="8" s="1"/>
  <c r="B79" i="8" s="1"/>
  <c r="B80" i="8" s="1"/>
  <c r="B81" i="8" s="1"/>
  <c r="G76" i="8"/>
  <c r="F76" i="8"/>
  <c r="B76" i="8"/>
  <c r="G75" i="8"/>
  <c r="F75" i="8"/>
  <c r="G74" i="8"/>
  <c r="F74" i="8"/>
  <c r="H9" i="8" s="1"/>
  <c r="G73" i="8"/>
  <c r="F73" i="8"/>
  <c r="G72" i="8"/>
  <c r="F72" i="8"/>
  <c r="H7" i="8" s="1"/>
  <c r="G71" i="8"/>
  <c r="F71" i="8"/>
  <c r="G70" i="8"/>
  <c r="F70" i="8"/>
  <c r="H5" i="8" s="1"/>
  <c r="G69" i="8"/>
  <c r="F69" i="8"/>
  <c r="G68" i="8"/>
  <c r="F68" i="8"/>
  <c r="H3" i="8" s="1"/>
  <c r="B68" i="8"/>
  <c r="B69" i="8" s="1"/>
  <c r="B70" i="8" s="1"/>
  <c r="B71" i="8" s="1"/>
  <c r="B72" i="8" s="1"/>
  <c r="B73" i="8" s="1"/>
  <c r="G67" i="8"/>
  <c r="F67" i="8"/>
  <c r="G66" i="8"/>
  <c r="G65" i="8"/>
  <c r="F65" i="8"/>
  <c r="G64" i="8"/>
  <c r="F64" i="8"/>
  <c r="G7" i="8" s="1"/>
  <c r="G63" i="8"/>
  <c r="F63" i="8"/>
  <c r="G62" i="8"/>
  <c r="F62" i="8"/>
  <c r="G5" i="8" s="1"/>
  <c r="G61" i="8"/>
  <c r="F61" i="8"/>
  <c r="G60" i="8"/>
  <c r="F60" i="8"/>
  <c r="G3" i="8" s="1"/>
  <c r="B60" i="8"/>
  <c r="B61" i="8" s="1"/>
  <c r="B62" i="8" s="1"/>
  <c r="B63" i="8" s="1"/>
  <c r="B64" i="8" s="1"/>
  <c r="B65" i="8" s="1"/>
  <c r="G59" i="8"/>
  <c r="F59" i="8"/>
  <c r="G58" i="8"/>
  <c r="G57" i="8"/>
  <c r="F57" i="8"/>
  <c r="G56" i="8"/>
  <c r="F56" i="8"/>
  <c r="F7" i="8" s="1"/>
  <c r="G55" i="8"/>
  <c r="F55" i="8"/>
  <c r="G54" i="8"/>
  <c r="F54" i="8"/>
  <c r="F5" i="8" s="1"/>
  <c r="G53" i="8"/>
  <c r="F53" i="8"/>
  <c r="B53" i="8"/>
  <c r="B54" i="8" s="1"/>
  <c r="B55" i="8" s="1"/>
  <c r="B56" i="8" s="1"/>
  <c r="B57" i="8" s="1"/>
  <c r="G52" i="8"/>
  <c r="F52" i="8"/>
  <c r="B52" i="8"/>
  <c r="G51" i="8"/>
  <c r="F51" i="8"/>
  <c r="F2" i="8" s="1"/>
  <c r="G50" i="8"/>
  <c r="F50" i="8"/>
  <c r="G49" i="8"/>
  <c r="F49" i="8"/>
  <c r="E8" i="8" s="1"/>
  <c r="G48" i="8"/>
  <c r="F48" i="8"/>
  <c r="G47" i="8"/>
  <c r="F47" i="8"/>
  <c r="E6" i="8" s="1"/>
  <c r="G46" i="8"/>
  <c r="F46" i="8"/>
  <c r="G45" i="8"/>
  <c r="F45" i="8"/>
  <c r="E4" i="8" s="1"/>
  <c r="G44" i="8"/>
  <c r="F44" i="8"/>
  <c r="B44" i="8"/>
  <c r="B45" i="8" s="1"/>
  <c r="B46" i="8" s="1"/>
  <c r="B47" i="8" s="1"/>
  <c r="B48" i="8" s="1"/>
  <c r="B49" i="8" s="1"/>
  <c r="G43" i="8"/>
  <c r="F43" i="8"/>
  <c r="G42" i="8"/>
  <c r="F42" i="8"/>
  <c r="G41" i="8"/>
  <c r="F41" i="8"/>
  <c r="G40" i="8"/>
  <c r="F40" i="8"/>
  <c r="G39" i="8"/>
  <c r="F39" i="8"/>
  <c r="G38" i="8"/>
  <c r="F38" i="8"/>
  <c r="G37" i="8"/>
  <c r="F37" i="8"/>
  <c r="B37" i="8"/>
  <c r="B38" i="8" s="1"/>
  <c r="B39" i="8" s="1"/>
  <c r="B40" i="8" s="1"/>
  <c r="B41" i="8" s="1"/>
  <c r="G36" i="8"/>
  <c r="F36" i="8"/>
  <c r="D3" i="8" s="1"/>
  <c r="B36" i="8"/>
  <c r="G35" i="8"/>
  <c r="F35" i="8"/>
  <c r="G34" i="8"/>
  <c r="F34" i="8"/>
  <c r="G33" i="8"/>
  <c r="F33" i="8"/>
  <c r="G32" i="8"/>
  <c r="F32" i="8"/>
  <c r="G31" i="8"/>
  <c r="F31" i="8"/>
  <c r="G30" i="8"/>
  <c r="F30" i="8"/>
  <c r="G29" i="8"/>
  <c r="F29" i="8"/>
  <c r="G28" i="8"/>
  <c r="F28" i="8"/>
  <c r="B28" i="8"/>
  <c r="B29" i="8" s="1"/>
  <c r="B30" i="8" s="1"/>
  <c r="B31" i="8" s="1"/>
  <c r="B32" i="8" s="1"/>
  <c r="B33" i="8" s="1"/>
  <c r="G27" i="8"/>
  <c r="F27" i="8"/>
  <c r="C2" i="8" s="1"/>
  <c r="L9" i="8"/>
  <c r="K9" i="8"/>
  <c r="J9" i="8"/>
  <c r="I9" i="8"/>
  <c r="G9" i="8"/>
  <c r="F9" i="8"/>
  <c r="E9" i="8"/>
  <c r="D9" i="8"/>
  <c r="C9" i="8"/>
  <c r="K8" i="8"/>
  <c r="J8" i="8"/>
  <c r="H8" i="8"/>
  <c r="G8" i="8"/>
  <c r="F8" i="8"/>
  <c r="D8" i="8"/>
  <c r="C8" i="8"/>
  <c r="L7" i="8"/>
  <c r="K7" i="8"/>
  <c r="J7" i="8"/>
  <c r="I7" i="8"/>
  <c r="E7" i="8"/>
  <c r="D7" i="8"/>
  <c r="C7" i="8"/>
  <c r="K6" i="8"/>
  <c r="J6" i="8"/>
  <c r="H6" i="8"/>
  <c r="G6" i="8"/>
  <c r="F6" i="8"/>
  <c r="D6" i="8"/>
  <c r="C6" i="8"/>
  <c r="L5" i="8"/>
  <c r="K5" i="8"/>
  <c r="J5" i="8"/>
  <c r="I5" i="8"/>
  <c r="E5" i="8"/>
  <c r="D5" i="8"/>
  <c r="C5" i="8"/>
  <c r="K4" i="8"/>
  <c r="J4" i="8"/>
  <c r="H4" i="8"/>
  <c r="G4" i="8"/>
  <c r="F4" i="8"/>
  <c r="D4" i="8"/>
  <c r="C4" i="8"/>
  <c r="L3" i="8"/>
  <c r="J3" i="8"/>
  <c r="I3" i="8"/>
  <c r="F3" i="8"/>
  <c r="E3" i="8"/>
  <c r="C3" i="8"/>
  <c r="B3" i="8"/>
  <c r="B4" i="8" s="1"/>
  <c r="B5" i="8" s="1"/>
  <c r="B6" i="8" s="1"/>
  <c r="B7" i="8" s="1"/>
  <c r="B8" i="8" s="1"/>
  <c r="L2" i="8"/>
  <c r="L16" i="8" s="1" a="1"/>
  <c r="L16" i="8" s="1"/>
  <c r="K2" i="8"/>
  <c r="I2" i="8"/>
  <c r="I16" i="8" s="1" a="1"/>
  <c r="I16" i="8" s="1"/>
  <c r="H2" i="8"/>
  <c r="H16" i="8" s="1" a="1"/>
  <c r="H16" i="8" s="1"/>
  <c r="G2" i="8"/>
  <c r="E2" i="8"/>
  <c r="E13" i="8" s="1" a="1"/>
  <c r="E13" i="8" s="1"/>
  <c r="D2" i="8"/>
  <c r="I15" i="7"/>
  <c r="I14" i="7"/>
  <c r="I12" i="7"/>
  <c r="I11" i="7"/>
  <c r="I10" i="7"/>
  <c r="I9" i="7"/>
  <c r="I8" i="7"/>
  <c r="I7" i="7"/>
  <c r="I6" i="7"/>
  <c r="I5" i="7"/>
  <c r="I4" i="7"/>
  <c r="I3" i="7"/>
  <c r="J13" i="8" l="1" a="1"/>
  <c r="J13" i="8" s="1"/>
  <c r="J15" i="8" s="1"/>
  <c r="F13" i="8" a="1"/>
  <c r="F13" i="8" s="1"/>
  <c r="F15" i="8" s="1"/>
  <c r="F14" i="8"/>
  <c r="E15" i="8"/>
  <c r="E14" i="8"/>
  <c r="J16" i="8" a="1"/>
  <c r="J16" i="8" s="1"/>
  <c r="C12" i="8" a="1"/>
  <c r="C12" i="8" s="1"/>
  <c r="G12" i="8" a="1"/>
  <c r="G12" i="8" s="1"/>
  <c r="K13" i="8" a="1"/>
  <c r="K13" i="8" s="1"/>
  <c r="D12" i="8" a="1"/>
  <c r="D12" i="8" s="1"/>
  <c r="H12" i="8" a="1"/>
  <c r="H12" i="8" s="1"/>
  <c r="L12" i="8" a="1"/>
  <c r="L12" i="8" s="1"/>
  <c r="F12" i="8" a="1"/>
  <c r="F12" i="8" s="1"/>
  <c r="J12" i="8" a="1"/>
  <c r="J12" i="8" s="1"/>
  <c r="D13" i="8" a="1"/>
  <c r="D13" i="8" s="1"/>
  <c r="H13" i="8" a="1"/>
  <c r="H13" i="8" s="1"/>
  <c r="L13" i="8" a="1"/>
  <c r="L13" i="8" s="1"/>
  <c r="D16" i="8" a="1"/>
  <c r="D16" i="8" s="1"/>
  <c r="F16" i="8" a="1"/>
  <c r="F16" i="8" s="1"/>
  <c r="E12" i="8" a="1"/>
  <c r="E12" i="8" s="1"/>
  <c r="I12" i="8" a="1"/>
  <c r="I12" i="8" s="1"/>
  <c r="C13" i="8" a="1"/>
  <c r="C13" i="8" s="1"/>
  <c r="G13" i="8" a="1"/>
  <c r="G13" i="8" s="1"/>
  <c r="I13" i="8" a="1"/>
  <c r="I13" i="8" s="1"/>
  <c r="C16" i="8" a="1"/>
  <c r="C16" i="8" s="1"/>
  <c r="E16" i="8" a="1"/>
  <c r="E16" i="8" s="1"/>
  <c r="G16" i="8" a="1"/>
  <c r="G16" i="8" s="1"/>
  <c r="K16" i="8" a="1"/>
  <c r="K16" i="8" s="1"/>
  <c r="K12" i="8" a="1"/>
  <c r="K12" i="8" s="1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F59" i="6"/>
  <c r="G2" i="6" s="1"/>
  <c r="F60" i="6"/>
  <c r="G3" i="6" s="1"/>
  <c r="F61" i="6"/>
  <c r="G4" i="6" s="1"/>
  <c r="F62" i="6"/>
  <c r="G5" i="6" s="1"/>
  <c r="F63" i="6"/>
  <c r="G6" i="6" s="1"/>
  <c r="F64" i="6"/>
  <c r="G7" i="6" s="1"/>
  <c r="F65" i="6"/>
  <c r="G8" i="6" s="1"/>
  <c r="G9" i="6"/>
  <c r="F67" i="6"/>
  <c r="H2" i="6" s="1"/>
  <c r="F68" i="6"/>
  <c r="H3" i="6" s="1"/>
  <c r="F69" i="6"/>
  <c r="H4" i="6" s="1"/>
  <c r="F70" i="6"/>
  <c r="H5" i="6" s="1"/>
  <c r="F71" i="6"/>
  <c r="H6" i="6" s="1"/>
  <c r="F72" i="6"/>
  <c r="H7" i="6" s="1"/>
  <c r="F73" i="6"/>
  <c r="H8" i="6" s="1"/>
  <c r="F74" i="6"/>
  <c r="H9" i="6" s="1"/>
  <c r="F75" i="6"/>
  <c r="I2" i="6" s="1"/>
  <c r="F76" i="6"/>
  <c r="I3" i="6" s="1"/>
  <c r="F77" i="6"/>
  <c r="I4" i="6" s="1"/>
  <c r="F78" i="6"/>
  <c r="I5" i="6" s="1"/>
  <c r="F79" i="6"/>
  <c r="I6" i="6" s="1"/>
  <c r="F80" i="6"/>
  <c r="I7" i="6" s="1"/>
  <c r="F81" i="6"/>
  <c r="I8" i="6" s="1"/>
  <c r="F82" i="6"/>
  <c r="I9" i="6" s="1"/>
  <c r="F83" i="6"/>
  <c r="J2" i="6" s="1"/>
  <c r="F84" i="6"/>
  <c r="J3" i="6" s="1"/>
  <c r="F85" i="6"/>
  <c r="J4" i="6" s="1"/>
  <c r="F86" i="6"/>
  <c r="J5" i="6" s="1"/>
  <c r="F87" i="6"/>
  <c r="J6" i="6" s="1"/>
  <c r="F88" i="6"/>
  <c r="J7" i="6" s="1"/>
  <c r="F89" i="6"/>
  <c r="J8" i="6" s="1"/>
  <c r="F90" i="6"/>
  <c r="J9" i="6" s="1"/>
  <c r="F91" i="6"/>
  <c r="K2" i="6" s="1"/>
  <c r="F92" i="6"/>
  <c r="K3" i="6" s="1"/>
  <c r="F93" i="6"/>
  <c r="K4" i="6" s="1"/>
  <c r="F94" i="6"/>
  <c r="K5" i="6" s="1"/>
  <c r="F95" i="6"/>
  <c r="K6" i="6" s="1"/>
  <c r="F96" i="6"/>
  <c r="K7" i="6" s="1"/>
  <c r="F97" i="6"/>
  <c r="K8" i="6" s="1"/>
  <c r="F98" i="6"/>
  <c r="K9" i="6" s="1"/>
  <c r="F99" i="6"/>
  <c r="L2" i="6" s="1"/>
  <c r="F100" i="6"/>
  <c r="L3" i="6" s="1"/>
  <c r="F101" i="6"/>
  <c r="L4" i="6" s="1"/>
  <c r="F102" i="6"/>
  <c r="L5" i="6" s="1"/>
  <c r="F103" i="6"/>
  <c r="L6" i="6" s="1"/>
  <c r="F104" i="6"/>
  <c r="L7" i="6" s="1"/>
  <c r="F105" i="6"/>
  <c r="L8" i="6" s="1"/>
  <c r="F106" i="6"/>
  <c r="L9" i="6" s="1"/>
  <c r="B100" i="6"/>
  <c r="B101" i="6" s="1"/>
  <c r="B102" i="6" s="1"/>
  <c r="B103" i="6" s="1"/>
  <c r="B104" i="6" s="1"/>
  <c r="B105" i="6" s="1"/>
  <c r="B92" i="6"/>
  <c r="B93" i="6" s="1"/>
  <c r="B94" i="6" s="1"/>
  <c r="B95" i="6" s="1"/>
  <c r="B96" i="6" s="1"/>
  <c r="B97" i="6" s="1"/>
  <c r="B84" i="6"/>
  <c r="B85" i="6" s="1"/>
  <c r="B86" i="6" s="1"/>
  <c r="B87" i="6" s="1"/>
  <c r="B88" i="6" s="1"/>
  <c r="B89" i="6" s="1"/>
  <c r="B76" i="6"/>
  <c r="B77" i="6" s="1"/>
  <c r="B78" i="6" s="1"/>
  <c r="B79" i="6" s="1"/>
  <c r="B80" i="6" s="1"/>
  <c r="B81" i="6" s="1"/>
  <c r="B68" i="6"/>
  <c r="B69" i="6" s="1"/>
  <c r="B70" i="6" s="1"/>
  <c r="B71" i="6" s="1"/>
  <c r="B72" i="6" s="1"/>
  <c r="B73" i="6" s="1"/>
  <c r="B60" i="6"/>
  <c r="B61" i="6" s="1"/>
  <c r="B62" i="6" s="1"/>
  <c r="B63" i="6" s="1"/>
  <c r="B64" i="6" s="1"/>
  <c r="B65" i="6" s="1"/>
  <c r="F39" i="6"/>
  <c r="D6" i="6" s="1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F28" i="6"/>
  <c r="C3" i="6" s="1"/>
  <c r="F29" i="6"/>
  <c r="C4" i="6" s="1"/>
  <c r="F30" i="6"/>
  <c r="C5" i="6" s="1"/>
  <c r="F31" i="6"/>
  <c r="C6" i="6" s="1"/>
  <c r="F32" i="6"/>
  <c r="C7" i="6" s="1"/>
  <c r="F33" i="6"/>
  <c r="C8" i="6" s="1"/>
  <c r="F34" i="6"/>
  <c r="C9" i="6" s="1"/>
  <c r="F35" i="6"/>
  <c r="D2" i="6" s="1"/>
  <c r="F36" i="6"/>
  <c r="D3" i="6" s="1"/>
  <c r="F37" i="6"/>
  <c r="D4" i="6" s="1"/>
  <c r="F38" i="6"/>
  <c r="D5" i="6" s="1"/>
  <c r="F40" i="6"/>
  <c r="D7" i="6" s="1"/>
  <c r="F41" i="6"/>
  <c r="D8" i="6" s="1"/>
  <c r="F42" i="6"/>
  <c r="D9" i="6" s="1"/>
  <c r="F43" i="6"/>
  <c r="E2" i="6" s="1"/>
  <c r="F44" i="6"/>
  <c r="E3" i="6" s="1"/>
  <c r="F45" i="6"/>
  <c r="E4" i="6" s="1"/>
  <c r="F46" i="6"/>
  <c r="E5" i="6" s="1"/>
  <c r="F47" i="6"/>
  <c r="E6" i="6" s="1"/>
  <c r="F48" i="6"/>
  <c r="E7" i="6" s="1"/>
  <c r="F49" i="6"/>
  <c r="E8" i="6" s="1"/>
  <c r="F50" i="6"/>
  <c r="E9" i="6" s="1"/>
  <c r="F51" i="6"/>
  <c r="F2" i="6" s="1"/>
  <c r="F52" i="6"/>
  <c r="F3" i="6" s="1"/>
  <c r="F53" i="6"/>
  <c r="F4" i="6" s="1"/>
  <c r="F54" i="6"/>
  <c r="F5" i="6" s="1"/>
  <c r="F55" i="6"/>
  <c r="F6" i="6" s="1"/>
  <c r="F56" i="6"/>
  <c r="F7" i="6" s="1"/>
  <c r="F57" i="6"/>
  <c r="F8" i="6" s="1"/>
  <c r="F9" i="6"/>
  <c r="G27" i="6"/>
  <c r="F27" i="6"/>
  <c r="C2" i="6" s="1"/>
  <c r="B52" i="6"/>
  <c r="B53" i="6" s="1"/>
  <c r="B54" i="6" s="1"/>
  <c r="B55" i="6" s="1"/>
  <c r="B56" i="6" s="1"/>
  <c r="B57" i="6" s="1"/>
  <c r="B44" i="6"/>
  <c r="B45" i="6" s="1"/>
  <c r="B46" i="6" s="1"/>
  <c r="B47" i="6" s="1"/>
  <c r="B48" i="6" s="1"/>
  <c r="B49" i="6" s="1"/>
  <c r="B36" i="6"/>
  <c r="B37" i="6" s="1"/>
  <c r="B38" i="6" s="1"/>
  <c r="B39" i="6" s="1"/>
  <c r="B40" i="6" s="1"/>
  <c r="B41" i="6" s="1"/>
  <c r="B28" i="6"/>
  <c r="B29" i="6" s="1"/>
  <c r="B30" i="6" s="1"/>
  <c r="B31" i="6" s="1"/>
  <c r="B32" i="6" s="1"/>
  <c r="B33" i="6" s="1"/>
  <c r="B3" i="6"/>
  <c r="B4" i="6" s="1"/>
  <c r="B5" i="6" s="1"/>
  <c r="B6" i="6" s="1"/>
  <c r="B7" i="6" s="1"/>
  <c r="B8" i="6" s="1"/>
  <c r="J14" i="8" l="1"/>
  <c r="C14" i="8"/>
  <c r="C15" i="8"/>
  <c r="L14" i="8"/>
  <c r="L15" i="8"/>
  <c r="K14" i="8"/>
  <c r="K15" i="8"/>
  <c r="G14" i="8"/>
  <c r="G15" i="8"/>
  <c r="D14" i="8"/>
  <c r="D15" i="8"/>
  <c r="I15" i="8"/>
  <c r="I14" i="8"/>
  <c r="H14" i="8"/>
  <c r="H15" i="8"/>
  <c r="D13" i="6" a="1"/>
  <c r="D13" i="6" s="1"/>
  <c r="D12" i="6" a="1"/>
  <c r="D12" i="6" s="1"/>
  <c r="L13" i="6" a="1"/>
  <c r="L13" i="6" s="1"/>
  <c r="K13" i="6" a="1"/>
  <c r="K13" i="6" s="1"/>
  <c r="K12" i="6" a="1"/>
  <c r="K12" i="6" s="1"/>
  <c r="J12" i="6" a="1"/>
  <c r="J12" i="6" s="1"/>
  <c r="J13" i="6" a="1"/>
  <c r="J13" i="6" s="1"/>
  <c r="G13" i="6" a="1"/>
  <c r="G13" i="6" s="1"/>
  <c r="G12" i="6" a="1"/>
  <c r="G12" i="6" s="1"/>
  <c r="I13" i="6" a="1"/>
  <c r="I13" i="6" s="1"/>
  <c r="I16" i="6" a="1"/>
  <c r="I16" i="6" s="1"/>
  <c r="I12" i="6" a="1"/>
  <c r="I12" i="6" s="1"/>
  <c r="H12" i="6" a="1"/>
  <c r="H12" i="6" s="1"/>
  <c r="E12" i="6" a="1"/>
  <c r="E12" i="6" s="1"/>
  <c r="E13" i="6" a="1"/>
  <c r="E13" i="6" s="1"/>
  <c r="E15" i="6" s="1"/>
  <c r="J16" i="6" a="1"/>
  <c r="J16" i="6" s="1"/>
  <c r="J14" i="6"/>
  <c r="I14" i="6"/>
  <c r="F16" i="6" a="1"/>
  <c r="F16" i="6" s="1"/>
  <c r="F12" i="6" a="1"/>
  <c r="F12" i="6" s="1"/>
  <c r="F13" i="6" a="1"/>
  <c r="F13" i="6" s="1"/>
  <c r="F14" i="6" s="1"/>
  <c r="E16" i="6" a="1"/>
  <c r="E16" i="6" s="1"/>
  <c r="H13" i="6" a="1"/>
  <c r="H13" i="6" s="1"/>
  <c r="H15" i="6" s="1"/>
  <c r="D16" i="6" a="1"/>
  <c r="D16" i="6" s="1"/>
  <c r="G15" i="6"/>
  <c r="H16" i="6" a="1"/>
  <c r="H16" i="6" s="1"/>
  <c r="G16" i="6" a="1"/>
  <c r="G16" i="6" s="1"/>
  <c r="C12" i="6" a="1"/>
  <c r="C12" i="6" s="1"/>
  <c r="C13" i="6" a="1"/>
  <c r="C13" i="6" s="1"/>
  <c r="C15" i="6" s="1"/>
  <c r="C16" i="6" a="1"/>
  <c r="C16" i="6" s="1"/>
  <c r="B3" i="3"/>
  <c r="B23" i="3"/>
  <c r="J15" i="6" l="1"/>
  <c r="E14" i="6"/>
  <c r="I15" i="6"/>
  <c r="H14" i="6"/>
  <c r="F15" i="6"/>
  <c r="K14" i="6"/>
  <c r="K15" i="6"/>
  <c r="L15" i="6"/>
  <c r="L14" i="6"/>
  <c r="G14" i="6"/>
  <c r="D15" i="6"/>
  <c r="D14" i="6"/>
  <c r="C14" i="6"/>
  <c r="B4" i="3"/>
  <c r="C35" i="3"/>
  <c r="C31" i="3"/>
  <c r="B24" i="3"/>
  <c r="B25" i="3" s="1"/>
  <c r="B26" i="3" s="1"/>
  <c r="B27" i="3" s="1"/>
  <c r="B28" i="3" s="1"/>
  <c r="D35" i="3"/>
  <c r="E35" i="3"/>
  <c r="I35" i="3"/>
  <c r="M35" i="3"/>
  <c r="Q35" i="3"/>
  <c r="D32" i="3"/>
  <c r="H32" i="3"/>
  <c r="L32" i="3"/>
  <c r="P32" i="3"/>
  <c r="E31" i="3"/>
  <c r="I31" i="3"/>
  <c r="M31" i="3"/>
  <c r="Q31" i="3"/>
  <c r="G32" i="3"/>
  <c r="D31" i="3"/>
  <c r="P31" i="3"/>
  <c r="F35" i="3"/>
  <c r="J35" i="3"/>
  <c r="N35" i="3"/>
  <c r="R35" i="3"/>
  <c r="E32" i="3"/>
  <c r="I32" i="3"/>
  <c r="M32" i="3"/>
  <c r="Q32" i="3"/>
  <c r="F31" i="3"/>
  <c r="J31" i="3"/>
  <c r="N31" i="3"/>
  <c r="R31" i="3"/>
  <c r="L35" i="3"/>
  <c r="K32" i="3"/>
  <c r="H31" i="3"/>
  <c r="G35" i="3"/>
  <c r="K35" i="3"/>
  <c r="O35" i="3"/>
  <c r="F32" i="3"/>
  <c r="J32" i="3"/>
  <c r="N32" i="3"/>
  <c r="R32" i="3"/>
  <c r="G31" i="3"/>
  <c r="K31" i="3"/>
  <c r="O31" i="3"/>
  <c r="H35" i="3"/>
  <c r="P35" i="3"/>
  <c r="O32" i="3"/>
  <c r="L31" i="3"/>
  <c r="B5" i="3"/>
  <c r="B6" i="3" s="1"/>
  <c r="B7" i="3" s="1"/>
  <c r="B8" i="3" s="1"/>
  <c r="O15" i="3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S12" i="2"/>
  <c r="S13" i="2" s="1"/>
  <c r="R12" i="2"/>
  <c r="R14" i="2" s="1"/>
  <c r="Q12" i="2"/>
  <c r="Q14" i="2" s="1"/>
  <c r="P12" i="2"/>
  <c r="P14" i="2" s="1"/>
  <c r="O12" i="2"/>
  <c r="O13" i="2" s="1"/>
  <c r="N12" i="2"/>
  <c r="N14" i="2" s="1"/>
  <c r="M12" i="2"/>
  <c r="M14" i="2" s="1"/>
  <c r="L12" i="2"/>
  <c r="L13" i="2" s="1"/>
  <c r="K12" i="2"/>
  <c r="K13" i="2" s="1"/>
  <c r="J12" i="2"/>
  <c r="J14" i="2" s="1"/>
  <c r="I12" i="2"/>
  <c r="I14" i="2" s="1"/>
  <c r="H12" i="2"/>
  <c r="H14" i="2" s="1"/>
  <c r="G12" i="2"/>
  <c r="G13" i="2" s="1"/>
  <c r="F12" i="2"/>
  <c r="F14" i="2" s="1"/>
  <c r="E12" i="2"/>
  <c r="E14" i="2" s="1"/>
  <c r="D12" i="2"/>
  <c r="D13" i="2" s="1"/>
  <c r="C12" i="2"/>
  <c r="C13" i="2" s="1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S9" i="2"/>
  <c r="R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V2" i="2"/>
  <c r="C12" i="3" l="1"/>
  <c r="C13" i="3" s="1"/>
  <c r="L15" i="3"/>
  <c r="H13" i="2"/>
  <c r="C11" i="3"/>
  <c r="D14" i="2"/>
  <c r="C32" i="3"/>
  <c r="L14" i="2"/>
  <c r="J34" i="3"/>
  <c r="J33" i="3"/>
  <c r="D33" i="3"/>
  <c r="D34" i="3"/>
  <c r="C14" i="2"/>
  <c r="K14" i="2"/>
  <c r="S14" i="2"/>
  <c r="L11" i="3"/>
  <c r="O33" i="3"/>
  <c r="O34" i="3"/>
  <c r="N34" i="3"/>
  <c r="N33" i="3"/>
  <c r="K33" i="3"/>
  <c r="K34" i="3"/>
  <c r="I34" i="3"/>
  <c r="I33" i="3"/>
  <c r="G33" i="3"/>
  <c r="G34" i="3"/>
  <c r="H33" i="3"/>
  <c r="H34" i="3"/>
  <c r="E34" i="3"/>
  <c r="E33" i="3"/>
  <c r="G14" i="2"/>
  <c r="O14" i="2"/>
  <c r="F34" i="3"/>
  <c r="F33" i="3"/>
  <c r="Q34" i="3"/>
  <c r="Q33" i="3"/>
  <c r="P33" i="3"/>
  <c r="P34" i="3"/>
  <c r="P13" i="2"/>
  <c r="M12" i="3"/>
  <c r="M14" i="3" s="1"/>
  <c r="R34" i="3"/>
  <c r="R33" i="3"/>
  <c r="M34" i="3"/>
  <c r="M33" i="3"/>
  <c r="L33" i="3"/>
  <c r="L34" i="3"/>
  <c r="Q15" i="3"/>
  <c r="P15" i="3"/>
  <c r="Q12" i="3"/>
  <c r="P11" i="3"/>
  <c r="C15" i="3"/>
  <c r="D12" i="3"/>
  <c r="F15" i="3"/>
  <c r="E15" i="3"/>
  <c r="Q11" i="3"/>
  <c r="O11" i="3"/>
  <c r="N11" i="3"/>
  <c r="M11" i="3"/>
  <c r="H15" i="3"/>
  <c r="I12" i="3"/>
  <c r="H11" i="3"/>
  <c r="K15" i="3"/>
  <c r="L12" i="3"/>
  <c r="K11" i="3"/>
  <c r="N15" i="3"/>
  <c r="K12" i="3"/>
  <c r="J11" i="3"/>
  <c r="M15" i="3"/>
  <c r="J12" i="3"/>
  <c r="I11" i="3"/>
  <c r="P12" i="3"/>
  <c r="O12" i="3"/>
  <c r="N12" i="3"/>
  <c r="D15" i="3"/>
  <c r="E12" i="3"/>
  <c r="D11" i="3"/>
  <c r="G15" i="3"/>
  <c r="H12" i="3"/>
  <c r="G11" i="3"/>
  <c r="J15" i="3"/>
  <c r="G12" i="3"/>
  <c r="F11" i="3"/>
  <c r="I15" i="3"/>
  <c r="F12" i="3"/>
  <c r="E11" i="3"/>
  <c r="E13" i="2"/>
  <c r="I13" i="2"/>
  <c r="M13" i="2"/>
  <c r="Q13" i="2"/>
  <c r="F13" i="2"/>
  <c r="J13" i="2"/>
  <c r="N13" i="2"/>
  <c r="R13" i="2"/>
  <c r="V3" i="2"/>
  <c r="C34" i="3" l="1"/>
  <c r="C33" i="3"/>
  <c r="M13" i="3"/>
  <c r="F14" i="3"/>
  <c r="F13" i="3"/>
  <c r="H14" i="3"/>
  <c r="H13" i="3"/>
  <c r="O13" i="3"/>
  <c r="O14" i="3"/>
  <c r="G13" i="3"/>
  <c r="G14" i="3"/>
  <c r="N14" i="3"/>
  <c r="N13" i="3"/>
  <c r="P14" i="3"/>
  <c r="P13" i="3"/>
  <c r="K13" i="3"/>
  <c r="K14" i="3"/>
  <c r="C14" i="3"/>
  <c r="Q14" i="3"/>
  <c r="Q13" i="3"/>
  <c r="J14" i="3"/>
  <c r="J13" i="3"/>
  <c r="L14" i="3"/>
  <c r="L13" i="3"/>
  <c r="E14" i="3"/>
  <c r="E13" i="3"/>
  <c r="I14" i="3"/>
  <c r="I13" i="3"/>
  <c r="D14" i="3"/>
  <c r="D13" i="3"/>
  <c r="V4" i="2"/>
  <c r="V5" i="2" l="1"/>
  <c r="V6" i="2" s="1"/>
  <c r="V7" i="2" s="1"/>
  <c r="V8" i="2" s="1"/>
  <c r="W11" i="2" s="1"/>
  <c r="Z12" i="2"/>
  <c r="W12" i="2"/>
  <c r="Y11" i="2"/>
  <c r="X12" i="2"/>
  <c r="Z11" i="2"/>
  <c r="Z15" i="2"/>
  <c r="Y12" i="2"/>
  <c r="W15" i="2"/>
  <c r="X11" i="2" l="1"/>
  <c r="Y14" i="2"/>
  <c r="Y13" i="2"/>
  <c r="W14" i="2"/>
  <c r="W13" i="2"/>
  <c r="X15" i="2"/>
  <c r="Y15" i="2"/>
  <c r="X14" i="2"/>
  <c r="X13" i="2"/>
  <c r="Z13" i="2"/>
  <c r="Z14" i="2"/>
  <c r="J9" i="1"/>
  <c r="J8" i="1"/>
  <c r="J7" i="1"/>
  <c r="J6" i="1"/>
  <c r="J5" i="1"/>
  <c r="J4" i="1"/>
  <c r="J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<sst xmlns="http://schemas.openxmlformats.org/spreadsheetml/2006/main" count="715" uniqueCount="190">
  <si>
    <t>Target</t>
  </si>
  <si>
    <t>Intercept</t>
  </si>
  <si>
    <t>Slope</t>
  </si>
  <si>
    <t>Efficiency</t>
  </si>
  <si>
    <t>Threshold</t>
  </si>
  <si>
    <t>LOD Cell</t>
  </si>
  <si>
    <t>Primers</t>
  </si>
  <si>
    <t>A. mellifera actin</t>
  </si>
  <si>
    <t>actin</t>
  </si>
  <si>
    <t>NA</t>
  </si>
  <si>
    <t>0113/0114</t>
  </si>
  <si>
    <t>G. apicola 16S rRNA gene</t>
  </si>
  <si>
    <t>Ga</t>
  </si>
  <si>
    <t>0115/0116</t>
  </si>
  <si>
    <t>F. perrara 16S rRNA gene</t>
  </si>
  <si>
    <t>Fp</t>
  </si>
  <si>
    <t>0255/0256</t>
  </si>
  <si>
    <t>S. alvi 16S rRNA gene</t>
  </si>
  <si>
    <t>Sa</t>
  </si>
  <si>
    <t>0168/0169</t>
  </si>
  <si>
    <t>B. apis 16S rRNA gene</t>
  </si>
  <si>
    <t>Ba</t>
  </si>
  <si>
    <t>0525/0526</t>
  </si>
  <si>
    <t>Alpha 2.1 16S rRNA gene</t>
  </si>
  <si>
    <t>A2</t>
  </si>
  <si>
    <t>0530/0531</t>
  </si>
  <si>
    <t>B. asteroides 16S rRNA gene</t>
  </si>
  <si>
    <t>Bi</t>
  </si>
  <si>
    <t>0203/0204</t>
  </si>
  <si>
    <t>Lactobacillus Firm-4 16S rRNA gene</t>
  </si>
  <si>
    <t>F4</t>
  </si>
  <si>
    <t>0142/0143</t>
  </si>
  <si>
    <t>Lactobacillus Firm-5 16S rRNA gene</t>
  </si>
  <si>
    <t>F5</t>
  </si>
  <si>
    <t>0205/0206</t>
  </si>
  <si>
    <t>L. kunkeei 16S rRNA gene</t>
  </si>
  <si>
    <t>Lk</t>
  </si>
  <si>
    <t>0609/0610</t>
  </si>
  <si>
    <t>0153/0154</t>
  </si>
  <si>
    <t>universal bacterial 16S rRNA gene</t>
  </si>
  <si>
    <t>univ</t>
  </si>
  <si>
    <t>0356/0772</t>
  </si>
  <si>
    <t>Varroa destructor virus 1</t>
  </si>
  <si>
    <t>0528/0529</t>
  </si>
  <si>
    <t>c_VDV</t>
  </si>
  <si>
    <t>c_actin</t>
  </si>
  <si>
    <t>Target gene</t>
  </si>
  <si>
    <t>Sample type</t>
  </si>
  <si>
    <t>DNA</t>
  </si>
  <si>
    <t>cDNA</t>
  </si>
  <si>
    <t>LOD #copy</t>
  </si>
  <si>
    <t>Threshold / LOD Cq - quantification cycle close to the threshold of detection, last reliably detected amplification in dilution series of plasmid</t>
  </si>
  <si>
    <t>LOD cell - number of cells close to the threshold of detection, calculated when divided by #16S loci and multiplied by total sample volume (200 ul)</t>
  </si>
  <si>
    <t>G</t>
  </si>
  <si>
    <t>S</t>
  </si>
  <si>
    <t>A1</t>
  </si>
  <si>
    <t>B</t>
  </si>
  <si>
    <t>Tryp</t>
  </si>
  <si>
    <t>Spiro</t>
  </si>
  <si>
    <t>VDV</t>
  </si>
  <si>
    <t>Ncer</t>
  </si>
  <si>
    <t>THRESHOLD</t>
  </si>
  <si>
    <t>NTC - H2O</t>
  </si>
  <si>
    <t>INTERCEPT</t>
  </si>
  <si>
    <t>SLOPE</t>
  </si>
  <si>
    <t>EFFICIENCY (%)</t>
  </si>
  <si>
    <t>R2</t>
  </si>
  <si>
    <t>note</t>
  </si>
  <si>
    <t>artBG</t>
  </si>
  <si>
    <t>BGbee_F4_10</t>
  </si>
  <si>
    <t>Bgbee_222</t>
  </si>
  <si>
    <t>Bgbee_210</t>
  </si>
  <si>
    <t>Bgbee_226</t>
  </si>
  <si>
    <t>Bgbee_171</t>
  </si>
  <si>
    <t>Bgbee_15_5</t>
  </si>
  <si>
    <t>Bg cDNA 10_12</t>
  </si>
  <si>
    <t>primer set</t>
  </si>
  <si>
    <t>0115/0115</t>
  </si>
  <si>
    <t>0556/0557</t>
  </si>
  <si>
    <t>date performed</t>
  </si>
  <si>
    <t>11.2.2016</t>
  </si>
  <si>
    <t>5.1.2017</t>
  </si>
  <si>
    <t>5.7.2016</t>
  </si>
  <si>
    <t>12.2.2016</t>
  </si>
  <si>
    <t>1.11.2016</t>
  </si>
  <si>
    <t>11.1.2017</t>
  </si>
  <si>
    <t>artBG - plasmid mixed with arteficial background</t>
  </si>
  <si>
    <t>plasmid copies</t>
  </si>
  <si>
    <t>UV2</t>
  </si>
  <si>
    <t>F5+B+G plasmid</t>
  </si>
  <si>
    <t>24.4.2017</t>
  </si>
  <si>
    <t>LOD #copy - number of plasmid copies close to the threshold of detection in 1 qPCR reaction</t>
  </si>
  <si>
    <t>Nc</t>
  </si>
  <si>
    <t>Tr</t>
  </si>
  <si>
    <t>0418/0419</t>
  </si>
  <si>
    <t>#16S/18S loci</t>
  </si>
  <si>
    <t>universal Trypanosomid 18S rRNA gene</t>
  </si>
  <si>
    <t>Nosema ceranae 18S rRNA gene</t>
  </si>
  <si>
    <t>Bgbee_373</t>
  </si>
  <si>
    <t>Sm</t>
  </si>
  <si>
    <t>Serratia marcescens 16SrRNA gene</t>
  </si>
  <si>
    <t>threshold more like 32</t>
  </si>
  <si>
    <t>pol</t>
  </si>
  <si>
    <t>pol_VD1</t>
  </si>
  <si>
    <t>pol_Sp1</t>
  </si>
  <si>
    <t>pol_Sp2</t>
  </si>
  <si>
    <t>pol_bee664B</t>
  </si>
  <si>
    <t>taken from nc</t>
  </si>
  <si>
    <t>0941/0942</t>
  </si>
  <si>
    <t>pollen Vaud</t>
  </si>
  <si>
    <t>sterile pollen</t>
  </si>
  <si>
    <t>bee gut 664B</t>
  </si>
  <si>
    <t>plant nuclear 5.8S rRNA gene</t>
  </si>
  <si>
    <t>ng per 1 ul</t>
  </si>
  <si>
    <t>UV</t>
  </si>
  <si>
    <t>dilution</t>
  </si>
  <si>
    <t>sample 529</t>
  </si>
  <si>
    <t>&gt;33.2</t>
  </si>
  <si>
    <t>&gt;33.4</t>
  </si>
  <si>
    <t>Sp</t>
  </si>
  <si>
    <t>VaDV</t>
  </si>
  <si>
    <t>0877/0878</t>
  </si>
  <si>
    <t>Bgbee_B70</t>
  </si>
  <si>
    <t>pure plasmid E</t>
  </si>
  <si>
    <t># copies plasmid</t>
  </si>
  <si>
    <t>plasmid pGEM</t>
  </si>
  <si>
    <t>Ec</t>
  </si>
  <si>
    <t>2?</t>
  </si>
  <si>
    <t>5?</t>
  </si>
  <si>
    <t>1213/1214</t>
  </si>
  <si>
    <t>UVnew</t>
  </si>
  <si>
    <t>actin A.m.</t>
  </si>
  <si>
    <t>RAW DATA</t>
  </si>
  <si>
    <t># plasmid copies</t>
  </si>
  <si>
    <t>Cq 1</t>
  </si>
  <si>
    <t>Cq 2</t>
  </si>
  <si>
    <t>Cq 3</t>
  </si>
  <si>
    <t>Cq average</t>
  </si>
  <si>
    <t>StDev</t>
  </si>
  <si>
    <t>H2O</t>
  </si>
  <si>
    <t>univ2</t>
  </si>
  <si>
    <t>Gilliamella (Ga)</t>
  </si>
  <si>
    <t>Frischella (Fp)</t>
  </si>
  <si>
    <t>Snodgrassella (Sa)</t>
  </si>
  <si>
    <t>date performed (YYMMDD)</t>
  </si>
  <si>
    <t>omit</t>
  </si>
  <si>
    <t>in blue are dilutions too close to water negative control - hits the detection limit of primers</t>
  </si>
  <si>
    <t>plasmid pGEM (221117)</t>
  </si>
  <si>
    <t xml:space="preserve">pipetted by </t>
  </si>
  <si>
    <t>Lucie</t>
  </si>
  <si>
    <t>FW primer sequence</t>
  </si>
  <si>
    <t>Bartonella (Ba)</t>
  </si>
  <si>
    <t>Bifidobacterium (Bi)</t>
  </si>
  <si>
    <t>Firm-4</t>
  </si>
  <si>
    <t>Firm-5</t>
  </si>
  <si>
    <t>plasmid mix (Ga+Ba+Bi+F5)</t>
  </si>
  <si>
    <t>Undetermined</t>
  </si>
  <si>
    <t>RV primer sequence</t>
  </si>
  <si>
    <t>THRESHOLD of fluorescence detection set to</t>
  </si>
  <si>
    <t xml:space="preserve">Threshold / LOD Cq - quantification cycle close to the threshold of detection, last reliably detected amplification in dilution series of plasmid </t>
  </si>
  <si>
    <t>GGAAGTTATGTGTGGGATAAGC</t>
  </si>
  <si>
    <t>CTATTCTCAGGTTGAGCCCG</t>
  </si>
  <si>
    <t>CTTAGAGATAGGAGAGTGCCTT</t>
  </si>
  <si>
    <t>AACTTAATGATGGCAACTAATGACAA</t>
  </si>
  <si>
    <t>GTGGGAATCTACCTATTTCTACG</t>
  </si>
  <si>
    <t>AACGCGGGCTCATCTATCTC</t>
  </si>
  <si>
    <t>ATGCAAGTCGAACGGGATCC</t>
  </si>
  <si>
    <t>CATCCCATRCCGGTAAACCC</t>
  </si>
  <si>
    <t>GCAACCTGCCCTWTAGCTTG</t>
  </si>
  <si>
    <t>GCCCATCCTKTAGTGACAGC</t>
  </si>
  <si>
    <t>AGCCGTCTTTCAACCAGCACT</t>
  </si>
  <si>
    <t>ACTCCTACGGGAGGCAGCAGT</t>
  </si>
  <si>
    <t>ATTACCGCGGCTGCTGGC</t>
  </si>
  <si>
    <t>AGGATTAGATACCCTGGTAGTCC</t>
  </si>
  <si>
    <t>YCGTACTCCCCAGGCGG</t>
  </si>
  <si>
    <t>CTTTGTTGCCATCGGTTAGGCC</t>
  </si>
  <si>
    <t>CCGCTTGCTCTCGCGAGG</t>
  </si>
  <si>
    <t>TGCCAACACTGTCCTTTCTG</t>
  </si>
  <si>
    <t>AGAATTGACCCACCAATCCA</t>
  </si>
  <si>
    <t>AGTCGAGCGCGGGAAGTCA</t>
  </si>
  <si>
    <t>wkB1</t>
  </si>
  <si>
    <t>-</t>
  </si>
  <si>
    <t>PEB0191</t>
  </si>
  <si>
    <t>wkB2</t>
  </si>
  <si>
    <t>PEB0122</t>
  </si>
  <si>
    <t>BBC0307</t>
  </si>
  <si>
    <t>BBC0264</t>
  </si>
  <si>
    <t>Hon2N</t>
  </si>
  <si>
    <t>Strain 16S in plasmid</t>
  </si>
  <si>
    <t>Lucie&amp;Goncalo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</si>
</sst>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0000"/>
    <numFmt numFmtId="166" formatCode="0.0"/>
    <numFmt numFmtId="167" formatCode="#,##0.000000"/>
    <numFmt numFmtId="168" formatCode="#,##0.0"/>
    <numFmt numFmtId="169" formatCode="#,##0.000"/>
  </numFmts>
  <fonts count="1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Arial"/>
      <family val="2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Verdana"/>
      <family val="2"/>
    </font>
    <font>
      <sz val="10"/>
      <color rgb="FF000000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7">
    <xf numFmtId="0" fontId="0" fillId="0" borderId="0" xfId="0"/>
    <xf numFmtId="0" fontId="5" fillId="0" borderId="0" xfId="3" applyFont="1"/>
    <xf numFmtId="0" fontId="4" fillId="0" borderId="0" xfId="3" applyFont="1"/>
    <xf numFmtId="0" fontId="1" fillId="0" borderId="0" xfId="3"/>
    <xf numFmtId="0" fontId="4" fillId="0" borderId="0" xfId="0" applyFont="1"/>
    <xf numFmtId="0" fontId="0" fillId="0" borderId="0" xfId="3" applyFont="1"/>
    <xf numFmtId="0" fontId="6" fillId="0" borderId="0" xfId="3" applyFont="1"/>
    <xf numFmtId="164" fontId="6" fillId="0" borderId="0" xfId="3" applyNumberFormat="1" applyFont="1"/>
    <xf numFmtId="0" fontId="1" fillId="2" borderId="0" xfId="3" applyFill="1"/>
    <xf numFmtId="0" fontId="0" fillId="2" borderId="0" xfId="0" applyFill="1"/>
    <xf numFmtId="164" fontId="1" fillId="0" borderId="0" xfId="3" applyNumberFormat="1"/>
    <xf numFmtId="165" fontId="4" fillId="0" borderId="0" xfId="3" applyNumberFormat="1" applyFont="1"/>
    <xf numFmtId="164" fontId="7" fillId="0" borderId="0" xfId="0" applyNumberFormat="1" applyFont="1"/>
    <xf numFmtId="164" fontId="6" fillId="0" borderId="0" xfId="0" applyNumberFormat="1" applyFont="1"/>
    <xf numFmtId="0" fontId="8" fillId="2" borderId="0" xfId="0" applyFont="1" applyFill="1"/>
    <xf numFmtId="164" fontId="0" fillId="0" borderId="0" xfId="0" applyNumberFormat="1"/>
    <xf numFmtId="0" fontId="9" fillId="0" borderId="0" xfId="0" applyFont="1"/>
    <xf numFmtId="0" fontId="10" fillId="0" borderId="0" xfId="0" applyFont="1"/>
    <xf numFmtId="14" fontId="0" fillId="0" borderId="0" xfId="0" applyNumberFormat="1"/>
    <xf numFmtId="166" fontId="1" fillId="0" borderId="0" xfId="3" applyNumberFormat="1"/>
    <xf numFmtId="0" fontId="0" fillId="3" borderId="0" xfId="0" applyFill="1"/>
    <xf numFmtId="1" fontId="0" fillId="0" borderId="0" xfId="0" applyNumberFormat="1"/>
    <xf numFmtId="0" fontId="6" fillId="0" borderId="0" xfId="0" applyFont="1"/>
    <xf numFmtId="167" fontId="0" fillId="0" borderId="0" xfId="0" applyNumberFormat="1"/>
    <xf numFmtId="1" fontId="6" fillId="0" borderId="0" xfId="3" applyNumberFormat="1" applyFont="1"/>
    <xf numFmtId="168" fontId="0" fillId="2" borderId="0" xfId="0" applyNumberFormat="1" applyFill="1"/>
    <xf numFmtId="0" fontId="0" fillId="2" borderId="0" xfId="3" applyFont="1" applyFill="1"/>
    <xf numFmtId="3" fontId="6" fillId="0" borderId="0" xfId="0" applyNumberFormat="1" applyFont="1"/>
    <xf numFmtId="167" fontId="7" fillId="0" borderId="0" xfId="0" applyNumberFormat="1" applyFont="1"/>
    <xf numFmtId="0" fontId="4" fillId="3" borderId="0" xfId="0" applyFont="1" applyFill="1"/>
    <xf numFmtId="0" fontId="0" fillId="4" borderId="0" xfId="0" applyFill="1"/>
    <xf numFmtId="0" fontId="0" fillId="7" borderId="0" xfId="0" applyFill="1"/>
    <xf numFmtId="169" fontId="0" fillId="0" borderId="0" xfId="0" applyNumberFormat="1"/>
    <xf numFmtId="169" fontId="4" fillId="0" borderId="0" xfId="0" applyNumberFormat="1" applyFont="1"/>
    <xf numFmtId="0" fontId="4" fillId="8" borderId="0" xfId="3" applyFont="1" applyFill="1"/>
    <xf numFmtId="167" fontId="0" fillId="8" borderId="0" xfId="0" applyNumberFormat="1" applyFill="1"/>
    <xf numFmtId="0" fontId="1" fillId="8" borderId="0" xfId="3" applyFill="1"/>
    <xf numFmtId="0" fontId="0" fillId="8" borderId="0" xfId="0" applyFill="1"/>
    <xf numFmtId="0" fontId="0" fillId="5" borderId="0" xfId="0" applyFill="1"/>
    <xf numFmtId="0" fontId="0" fillId="9" borderId="0" xfId="0" applyFill="1"/>
    <xf numFmtId="0" fontId="0" fillId="6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14">
    <cellStyle name="Followed Hyperlink" xfId="2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1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3" xfId="3" xr:uid="{00000000-0005-0000-0000-00000D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pane ySplit="1" topLeftCell="A2" activePane="bottomLeft" state="frozen"/>
      <selection pane="bottomLeft" activeCell="G18" sqref="G18"/>
    </sheetView>
  </sheetViews>
  <sheetFormatPr baseColWidth="10" defaultColWidth="11.1640625" defaultRowHeight="16" x14ac:dyDescent="0.2"/>
  <cols>
    <col min="1" max="1" width="33" customWidth="1"/>
    <col min="2" max="2" width="11.6640625" customWidth="1"/>
    <col min="3" max="3" width="15.33203125" customWidth="1"/>
    <col min="9" max="9" width="12.33203125" customWidth="1"/>
    <col min="12" max="12" width="31" customWidth="1"/>
    <col min="13" max="13" width="31.5" customWidth="1"/>
  </cols>
  <sheetData>
    <row r="1" spans="1:13" x14ac:dyDescent="0.2">
      <c r="A1" t="s">
        <v>46</v>
      </c>
      <c r="B1" t="s">
        <v>188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50</v>
      </c>
      <c r="I1" t="s">
        <v>95</v>
      </c>
      <c r="J1" t="s">
        <v>5</v>
      </c>
      <c r="K1" t="s">
        <v>6</v>
      </c>
      <c r="L1" t="s">
        <v>150</v>
      </c>
      <c r="M1" t="s">
        <v>157</v>
      </c>
    </row>
    <row r="2" spans="1:13" x14ac:dyDescent="0.2">
      <c r="A2" t="s">
        <v>7</v>
      </c>
      <c r="B2" t="s">
        <v>181</v>
      </c>
      <c r="C2" t="s">
        <v>8</v>
      </c>
      <c r="D2">
        <v>36.719189870925177</v>
      </c>
      <c r="E2">
        <v>-3.3192712238856728</v>
      </c>
      <c r="F2" s="10">
        <f>10^(-1/E2)</f>
        <v>2.0011099506454513</v>
      </c>
      <c r="G2">
        <v>33.130231857299805</v>
      </c>
      <c r="H2">
        <v>10</v>
      </c>
      <c r="I2" t="s">
        <v>9</v>
      </c>
      <c r="K2" t="s">
        <v>10</v>
      </c>
      <c r="L2" s="44" t="s">
        <v>177</v>
      </c>
      <c r="M2" s="44" t="s">
        <v>178</v>
      </c>
    </row>
    <row r="3" spans="1:13" x14ac:dyDescent="0.2">
      <c r="A3" t="s">
        <v>11</v>
      </c>
      <c r="B3" t="s">
        <v>180</v>
      </c>
      <c r="C3" t="s">
        <v>12</v>
      </c>
      <c r="D3">
        <v>36.957068761189774</v>
      </c>
      <c r="E3">
        <v>-3.3545669033413836</v>
      </c>
      <c r="F3" s="10">
        <f t="shared" ref="F3:F11" si="0">10^(-1/E3)</f>
        <v>1.9865572024819396</v>
      </c>
      <c r="G3">
        <v>32.676573435465492</v>
      </c>
      <c r="H3">
        <v>10</v>
      </c>
      <c r="I3">
        <v>4</v>
      </c>
      <c r="J3">
        <f t="shared" ref="J3:J9" si="1">(H3/I3)*200</f>
        <v>500</v>
      </c>
      <c r="K3" t="s">
        <v>13</v>
      </c>
      <c r="L3" s="44" t="s">
        <v>175</v>
      </c>
      <c r="M3" s="44" t="s">
        <v>176</v>
      </c>
    </row>
    <row r="4" spans="1:13" x14ac:dyDescent="0.2">
      <c r="A4" t="s">
        <v>14</v>
      </c>
      <c r="B4" t="s">
        <v>182</v>
      </c>
      <c r="C4" t="s">
        <v>15</v>
      </c>
      <c r="D4">
        <v>36.054313341776528</v>
      </c>
      <c r="E4">
        <v>-3.3538540999094644</v>
      </c>
      <c r="F4" s="10">
        <f t="shared" si="0"/>
        <v>1.9868470286537374</v>
      </c>
      <c r="G4">
        <v>31.832935969034832</v>
      </c>
      <c r="H4">
        <v>10</v>
      </c>
      <c r="I4">
        <v>4</v>
      </c>
      <c r="J4">
        <f t="shared" si="1"/>
        <v>500</v>
      </c>
      <c r="K4" t="s">
        <v>16</v>
      </c>
      <c r="L4" s="45" t="s">
        <v>160</v>
      </c>
      <c r="M4" s="45" t="s">
        <v>161</v>
      </c>
    </row>
    <row r="5" spans="1:13" ht="14" customHeight="1" x14ac:dyDescent="0.2">
      <c r="A5" t="s">
        <v>17</v>
      </c>
      <c r="B5" t="s">
        <v>183</v>
      </c>
      <c r="C5" t="s">
        <v>18</v>
      </c>
      <c r="D5">
        <v>36.941042400541761</v>
      </c>
      <c r="E5">
        <v>-3.3882813453674316</v>
      </c>
      <c r="F5" s="10">
        <f t="shared" si="0"/>
        <v>1.9730354007698292</v>
      </c>
      <c r="G5">
        <v>33.218189239501953</v>
      </c>
      <c r="H5">
        <v>10</v>
      </c>
      <c r="I5">
        <v>4</v>
      </c>
      <c r="J5">
        <f t="shared" si="1"/>
        <v>500</v>
      </c>
      <c r="K5" t="s">
        <v>19</v>
      </c>
      <c r="L5" s="45" t="s">
        <v>162</v>
      </c>
      <c r="M5" s="45" t="s">
        <v>163</v>
      </c>
    </row>
    <row r="6" spans="1:13" x14ac:dyDescent="0.2">
      <c r="A6" t="s">
        <v>20</v>
      </c>
      <c r="B6" s="46" t="s">
        <v>184</v>
      </c>
      <c r="C6" t="s">
        <v>21</v>
      </c>
      <c r="D6">
        <v>37.048185620989116</v>
      </c>
      <c r="E6">
        <v>-3.4153973375047957</v>
      </c>
      <c r="F6" s="10">
        <f t="shared" si="0"/>
        <v>1.9624188288931026</v>
      </c>
      <c r="G6">
        <v>33.492759704589844</v>
      </c>
      <c r="H6">
        <v>10</v>
      </c>
      <c r="I6">
        <v>2</v>
      </c>
      <c r="J6">
        <f t="shared" si="1"/>
        <v>1000</v>
      </c>
      <c r="K6" t="s">
        <v>22</v>
      </c>
      <c r="L6" s="45" t="s">
        <v>164</v>
      </c>
      <c r="M6" s="45" t="s">
        <v>165</v>
      </c>
    </row>
    <row r="7" spans="1:13" x14ac:dyDescent="0.2">
      <c r="A7" t="s">
        <v>26</v>
      </c>
      <c r="B7" s="46" t="s">
        <v>185</v>
      </c>
      <c r="C7" t="s">
        <v>27</v>
      </c>
      <c r="D7">
        <v>38.14179792858306</v>
      </c>
      <c r="E7">
        <v>-3.621910685584659</v>
      </c>
      <c r="F7" s="10">
        <f t="shared" si="0"/>
        <v>1.8884146717237598</v>
      </c>
      <c r="G7">
        <v>34.004678090413414</v>
      </c>
      <c r="H7">
        <v>10</v>
      </c>
      <c r="I7">
        <v>2</v>
      </c>
      <c r="J7">
        <f t="shared" si="1"/>
        <v>1000</v>
      </c>
      <c r="K7" t="s">
        <v>28</v>
      </c>
      <c r="L7" s="45" t="s">
        <v>166</v>
      </c>
      <c r="M7" s="45" t="s">
        <v>167</v>
      </c>
    </row>
    <row r="8" spans="1:13" x14ac:dyDescent="0.2">
      <c r="A8" t="s">
        <v>29</v>
      </c>
      <c r="B8" s="46" t="s">
        <v>187</v>
      </c>
      <c r="C8" t="s">
        <v>30</v>
      </c>
      <c r="D8">
        <v>36.375736842079775</v>
      </c>
      <c r="E8">
        <v>-3.3952193487258189</v>
      </c>
      <c r="F8" s="10">
        <f t="shared" si="0"/>
        <v>1.970297383037517</v>
      </c>
      <c r="G8" s="23">
        <v>30.605785369873047</v>
      </c>
      <c r="H8">
        <v>100</v>
      </c>
      <c r="I8">
        <v>4</v>
      </c>
      <c r="J8">
        <f t="shared" si="1"/>
        <v>5000</v>
      </c>
      <c r="K8" t="s">
        <v>31</v>
      </c>
      <c r="L8" s="44" t="s">
        <v>179</v>
      </c>
      <c r="M8" s="45" t="s">
        <v>170</v>
      </c>
    </row>
    <row r="9" spans="1:13" x14ac:dyDescent="0.2">
      <c r="A9" t="s">
        <v>32</v>
      </c>
      <c r="B9" s="46" t="s">
        <v>186</v>
      </c>
      <c r="C9" t="s">
        <v>33</v>
      </c>
      <c r="D9">
        <v>36.038131417168515</v>
      </c>
      <c r="E9">
        <v>-3.3393320083618168</v>
      </c>
      <c r="F9" s="10">
        <f t="shared" si="0"/>
        <v>1.9927879528931682</v>
      </c>
      <c r="G9">
        <v>30.308079719543457</v>
      </c>
      <c r="H9">
        <v>100</v>
      </c>
      <c r="I9">
        <v>4</v>
      </c>
      <c r="J9">
        <f t="shared" si="1"/>
        <v>5000</v>
      </c>
      <c r="K9" t="s">
        <v>34</v>
      </c>
      <c r="L9" s="45" t="s">
        <v>168</v>
      </c>
      <c r="M9" s="45" t="s">
        <v>169</v>
      </c>
    </row>
    <row r="10" spans="1:13" x14ac:dyDescent="0.2">
      <c r="A10" t="s">
        <v>39</v>
      </c>
      <c r="B10" t="s">
        <v>181</v>
      </c>
      <c r="C10" t="s">
        <v>40</v>
      </c>
      <c r="D10">
        <v>36.941096687316893</v>
      </c>
      <c r="E10">
        <v>-3.393086624145508</v>
      </c>
      <c r="F10" s="10">
        <f t="shared" si="0"/>
        <v>1.9711374463654934</v>
      </c>
      <c r="G10">
        <v>26.531240463256836</v>
      </c>
      <c r="H10">
        <v>1000</v>
      </c>
      <c r="I10" t="s">
        <v>9</v>
      </c>
      <c r="K10" t="s">
        <v>41</v>
      </c>
      <c r="L10" s="45" t="s">
        <v>173</v>
      </c>
      <c r="M10" s="45" t="s">
        <v>174</v>
      </c>
    </row>
    <row r="11" spans="1:13" s="16" customFormat="1" x14ac:dyDescent="0.2">
      <c r="A11" t="s">
        <v>39</v>
      </c>
      <c r="B11" t="s">
        <v>181</v>
      </c>
      <c r="C11" t="s">
        <v>140</v>
      </c>
      <c r="D11">
        <v>36.181353918711345</v>
      </c>
      <c r="E11">
        <v>-3.3685971895853681</v>
      </c>
      <c r="F11" s="10">
        <f t="shared" si="0"/>
        <v>1.9808859745242611</v>
      </c>
      <c r="G11">
        <v>25.708549499511719</v>
      </c>
      <c r="H11">
        <v>1000</v>
      </c>
      <c r="I11" t="s">
        <v>9</v>
      </c>
      <c r="J11"/>
      <c r="K11" t="s">
        <v>129</v>
      </c>
      <c r="L11" s="45" t="s">
        <v>171</v>
      </c>
      <c r="M11" s="45" t="s">
        <v>172</v>
      </c>
    </row>
    <row r="13" spans="1:13" x14ac:dyDescent="0.2">
      <c r="A13" t="s">
        <v>159</v>
      </c>
    </row>
    <row r="14" spans="1:13" x14ac:dyDescent="0.2">
      <c r="A14" t="s">
        <v>91</v>
      </c>
    </row>
    <row r="15" spans="1:13" x14ac:dyDescent="0.2">
      <c r="A15" t="s">
        <v>52</v>
      </c>
    </row>
    <row r="18" spans="1:10" x14ac:dyDescent="0.2">
      <c r="B18" s="23"/>
    </row>
    <row r="19" spans="1:10" x14ac:dyDescent="0.2">
      <c r="B19" s="23"/>
    </row>
    <row r="21" spans="1:10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6556F-F789-DB48-9DE4-AD5D4BCF58B2}">
  <dimension ref="A1:L106"/>
  <sheetViews>
    <sheetView workbookViewId="0">
      <selection activeCell="L13" sqref="L13"/>
    </sheetView>
  </sheetViews>
  <sheetFormatPr baseColWidth="10" defaultRowHeight="16" x14ac:dyDescent="0.2"/>
  <cols>
    <col min="1" max="1" width="24.33203125" customWidth="1"/>
    <col min="2" max="2" width="14.83203125" customWidth="1"/>
    <col min="3" max="12" width="16.5" customWidth="1"/>
  </cols>
  <sheetData>
    <row r="1" spans="1:12" ht="21" x14ac:dyDescent="0.25">
      <c r="B1" t="s">
        <v>124</v>
      </c>
      <c r="C1" s="1" t="s">
        <v>131</v>
      </c>
      <c r="D1" s="1" t="s">
        <v>12</v>
      </c>
      <c r="E1" s="1" t="s">
        <v>15</v>
      </c>
      <c r="F1" s="1" t="s">
        <v>18</v>
      </c>
      <c r="G1" s="1" t="s">
        <v>21</v>
      </c>
      <c r="H1" s="1" t="s">
        <v>27</v>
      </c>
      <c r="I1" s="1" t="s">
        <v>30</v>
      </c>
      <c r="J1" s="1" t="s">
        <v>33</v>
      </c>
      <c r="K1" s="1" t="s">
        <v>40</v>
      </c>
      <c r="L1" s="1" t="s">
        <v>140</v>
      </c>
    </row>
    <row r="2" spans="1:12" x14ac:dyDescent="0.2">
      <c r="B2" s="2">
        <v>10000000</v>
      </c>
      <c r="C2" s="23">
        <f>F27</f>
        <v>13.457893371582031</v>
      </c>
      <c r="D2" s="23">
        <f>F35</f>
        <v>13.200640360514322</v>
      </c>
      <c r="E2" s="23">
        <f>F43</f>
        <v>12.442082405090332</v>
      </c>
      <c r="F2" s="23">
        <f>F51</f>
        <v>13.016802469889322</v>
      </c>
      <c r="G2" s="23">
        <f>F59</f>
        <v>13.167675018310547</v>
      </c>
      <c r="H2" s="23">
        <f>F67</f>
        <v>12.534403483072916</v>
      </c>
      <c r="I2" s="23">
        <f>F75</f>
        <v>12.470609664916992</v>
      </c>
      <c r="J2" s="23">
        <f>F83</f>
        <v>12.538726488749186</v>
      </c>
      <c r="K2" s="23">
        <f>F91</f>
        <v>13.069361686706543</v>
      </c>
      <c r="L2" s="23">
        <f>F99</f>
        <v>12.378678957621256</v>
      </c>
    </row>
    <row r="3" spans="1:12" x14ac:dyDescent="0.2">
      <c r="B3" s="2">
        <f>B2/10</f>
        <v>1000000</v>
      </c>
      <c r="C3" s="23">
        <f t="shared" ref="C3:C9" si="0">F28</f>
        <v>16.69098726908366</v>
      </c>
      <c r="D3" s="23">
        <f t="shared" ref="D3:D9" si="1">F36</f>
        <v>16.565288543701172</v>
      </c>
      <c r="E3" s="23">
        <f t="shared" ref="E3:E9" si="2">F44</f>
        <v>15.736246426900228</v>
      </c>
      <c r="F3" s="23">
        <f t="shared" ref="F3:F9" si="3">F52</f>
        <v>16.542565027872723</v>
      </c>
      <c r="G3" s="23">
        <f t="shared" ref="G3:G9" si="4">F60</f>
        <v>16.52422269185384</v>
      </c>
      <c r="H3" s="23">
        <f t="shared" ref="H3:H9" si="5">F68</f>
        <v>16.302378336588543</v>
      </c>
      <c r="I3" s="23">
        <f t="shared" ref="I3:I9" si="6">F76</f>
        <v>16.022097269694012</v>
      </c>
      <c r="J3" s="23">
        <f t="shared" ref="J3:J9" si="7">F84</f>
        <v>16.000375747680664</v>
      </c>
      <c r="K3" s="23">
        <f t="shared" ref="K3:K9" si="8">F92</f>
        <v>16.589986801147461</v>
      </c>
      <c r="L3" s="23">
        <f t="shared" ref="L3:L9" si="9">F100</f>
        <v>16.004825909932453</v>
      </c>
    </row>
    <row r="4" spans="1:12" x14ac:dyDescent="0.2">
      <c r="B4" s="2">
        <f t="shared" ref="B4:B8" si="10">B3/10</f>
        <v>100000</v>
      </c>
      <c r="C4" s="23">
        <f t="shared" si="0"/>
        <v>20.052188873291016</v>
      </c>
      <c r="D4" s="23">
        <f t="shared" si="1"/>
        <v>20.232789993286133</v>
      </c>
      <c r="E4" s="23">
        <f t="shared" si="2"/>
        <v>19.320416768391933</v>
      </c>
      <c r="F4" s="23">
        <f t="shared" si="3"/>
        <v>20.111723581949871</v>
      </c>
      <c r="G4" s="23">
        <f t="shared" si="4"/>
        <v>19.959877014160156</v>
      </c>
      <c r="H4" s="23">
        <f t="shared" si="5"/>
        <v>20.049283981323242</v>
      </c>
      <c r="I4" s="23">
        <f t="shared" si="6"/>
        <v>19.493982315063477</v>
      </c>
      <c r="J4" s="23">
        <f t="shared" si="7"/>
        <v>19.386890411376953</v>
      </c>
      <c r="K4" s="23">
        <f t="shared" si="8"/>
        <v>20.090633392333984</v>
      </c>
      <c r="L4" s="23">
        <f t="shared" si="9"/>
        <v>19.568728764851887</v>
      </c>
    </row>
    <row r="5" spans="1:12" x14ac:dyDescent="0.2">
      <c r="B5" s="2">
        <f t="shared" si="10"/>
        <v>10000</v>
      </c>
      <c r="C5" s="23">
        <f t="shared" si="0"/>
        <v>23.595581690470379</v>
      </c>
      <c r="D5" s="23">
        <f t="shared" si="1"/>
        <v>23.879941940307607</v>
      </c>
      <c r="E5" s="23">
        <f t="shared" si="2"/>
        <v>22.735085169474285</v>
      </c>
      <c r="F5" s="23">
        <f t="shared" si="3"/>
        <v>23.577875137329102</v>
      </c>
      <c r="G5" s="23">
        <f t="shared" si="4"/>
        <v>23.336024602254231</v>
      </c>
      <c r="H5" s="23">
        <f t="shared" si="5"/>
        <v>24.108473459879558</v>
      </c>
      <c r="I5" s="23">
        <f t="shared" si="6"/>
        <v>22.883554458618164</v>
      </c>
      <c r="J5" s="23">
        <f t="shared" si="7"/>
        <v>22.816050211588543</v>
      </c>
      <c r="K5" s="23">
        <f t="shared" si="8"/>
        <v>23.597095489501953</v>
      </c>
      <c r="L5" s="23">
        <f t="shared" si="9"/>
        <v>23.031056722005207</v>
      </c>
    </row>
    <row r="6" spans="1:12" x14ac:dyDescent="0.2">
      <c r="B6" s="2">
        <f t="shared" si="10"/>
        <v>1000</v>
      </c>
      <c r="C6" s="23">
        <f t="shared" si="0"/>
        <v>26.978961308797214</v>
      </c>
      <c r="D6" s="23">
        <f t="shared" si="1"/>
        <v>27.569306373596191</v>
      </c>
      <c r="E6" s="23">
        <f t="shared" si="2"/>
        <v>26.282759984334309</v>
      </c>
      <c r="F6" s="23">
        <f t="shared" si="3"/>
        <v>27.031956354777019</v>
      </c>
      <c r="G6" s="23">
        <f t="shared" si="4"/>
        <v>26.787035942077637</v>
      </c>
      <c r="H6" s="23">
        <f t="shared" si="5"/>
        <v>27.503021876017254</v>
      </c>
      <c r="I6" s="23">
        <f t="shared" si="6"/>
        <v>26.351914723714192</v>
      </c>
      <c r="J6" s="23">
        <f t="shared" si="7"/>
        <v>26.240843454996746</v>
      </c>
      <c r="K6" s="23">
        <f t="shared" si="8"/>
        <v>26.531240463256836</v>
      </c>
      <c r="L6" s="23">
        <f t="shared" si="9"/>
        <v>25.708549499511719</v>
      </c>
    </row>
    <row r="7" spans="1:12" x14ac:dyDescent="0.2">
      <c r="B7" s="2">
        <f t="shared" si="10"/>
        <v>100</v>
      </c>
      <c r="C7" s="23">
        <f t="shared" si="0"/>
        <v>30.18889045715332</v>
      </c>
      <c r="D7" s="23">
        <f t="shared" si="1"/>
        <v>30.647067387898762</v>
      </c>
      <c r="E7" s="23">
        <f t="shared" si="2"/>
        <v>30.122751871744793</v>
      </c>
      <c r="F7" s="23">
        <f t="shared" si="3"/>
        <v>30.216307322184246</v>
      </c>
      <c r="G7" s="23">
        <f t="shared" si="4"/>
        <v>30.438578923543293</v>
      </c>
      <c r="H7" s="23">
        <f t="shared" si="5"/>
        <v>31.076847076416016</v>
      </c>
      <c r="I7" s="23">
        <f t="shared" si="6"/>
        <v>29.361340204874676</v>
      </c>
      <c r="J7" s="23">
        <f t="shared" si="7"/>
        <v>29.083937962849934</v>
      </c>
      <c r="K7" s="35">
        <f t="shared" si="8"/>
        <v>27.803896586100262</v>
      </c>
      <c r="L7" s="35">
        <f t="shared" si="9"/>
        <v>26.572665532430012</v>
      </c>
    </row>
    <row r="8" spans="1:12" x14ac:dyDescent="0.2">
      <c r="B8" s="2">
        <f t="shared" si="10"/>
        <v>10</v>
      </c>
      <c r="C8" s="23">
        <f t="shared" si="0"/>
        <v>33.130231857299805</v>
      </c>
      <c r="D8" s="23">
        <f t="shared" si="1"/>
        <v>32.676573435465492</v>
      </c>
      <c r="E8" s="23">
        <f t="shared" si="2"/>
        <v>31.832935969034832</v>
      </c>
      <c r="F8" s="23">
        <f t="shared" si="3"/>
        <v>33.218189239501953</v>
      </c>
      <c r="G8" s="23">
        <f t="shared" si="4"/>
        <v>33.492759704589844</v>
      </c>
      <c r="H8" s="23">
        <f t="shared" si="5"/>
        <v>34.004678090413414</v>
      </c>
      <c r="I8" s="35">
        <f t="shared" si="6"/>
        <v>30.605785369873047</v>
      </c>
      <c r="J8" s="35">
        <f t="shared" si="7"/>
        <v>30.308079719543457</v>
      </c>
      <c r="K8" s="35">
        <f t="shared" si="8"/>
        <v>27.784094492594402</v>
      </c>
      <c r="L8" s="35">
        <f t="shared" si="9"/>
        <v>26.456340154012043</v>
      </c>
    </row>
    <row r="9" spans="1:12" x14ac:dyDescent="0.2">
      <c r="B9" s="34" t="s">
        <v>139</v>
      </c>
      <c r="C9" s="35">
        <f t="shared" si="0"/>
        <v>35.116021474202476</v>
      </c>
      <c r="D9" s="35">
        <f t="shared" si="1"/>
        <v>32.654225667317711</v>
      </c>
      <c r="E9" s="35">
        <f t="shared" si="2"/>
        <v>32.282166798909508</v>
      </c>
      <c r="F9" s="35" t="str">
        <f t="shared" si="3"/>
        <v>NA</v>
      </c>
      <c r="G9" s="35" t="str">
        <f t="shared" si="4"/>
        <v>NA</v>
      </c>
      <c r="H9" s="35">
        <f t="shared" si="5"/>
        <v>36.463474273681641</v>
      </c>
      <c r="I9" s="35">
        <f t="shared" si="6"/>
        <v>31.115290959676106</v>
      </c>
      <c r="J9" s="35">
        <f t="shared" si="7"/>
        <v>30.648752212524428</v>
      </c>
      <c r="K9" s="35">
        <f t="shared" si="8"/>
        <v>27.071805318196613</v>
      </c>
      <c r="L9" s="35">
        <f t="shared" si="9"/>
        <v>26.532426198323567</v>
      </c>
    </row>
    <row r="10" spans="1:12" x14ac:dyDescent="0.2">
      <c r="B10" s="36" t="s">
        <v>146</v>
      </c>
      <c r="C10" s="35"/>
      <c r="D10" s="35"/>
      <c r="E10" s="35"/>
      <c r="F10" s="35"/>
      <c r="G10" s="35"/>
      <c r="H10" s="35"/>
      <c r="I10" s="35"/>
      <c r="J10" s="35"/>
      <c r="K10" s="35"/>
      <c r="L10" s="37"/>
    </row>
    <row r="11" spans="1:12" x14ac:dyDescent="0.2">
      <c r="A11" s="6" t="s">
        <v>158</v>
      </c>
      <c r="C11" s="27">
        <v>1</v>
      </c>
      <c r="D11" s="24">
        <v>1</v>
      </c>
      <c r="E11" s="24">
        <v>1</v>
      </c>
      <c r="F11" s="24">
        <v>1</v>
      </c>
      <c r="G11" s="24">
        <v>1</v>
      </c>
      <c r="H11" s="24">
        <v>1</v>
      </c>
      <c r="I11" s="24">
        <v>1</v>
      </c>
      <c r="J11" s="24">
        <v>1</v>
      </c>
      <c r="K11" s="27">
        <v>1</v>
      </c>
      <c r="L11" s="22">
        <v>1</v>
      </c>
    </row>
    <row r="12" spans="1:12" x14ac:dyDescent="0.2">
      <c r="A12" s="2" t="s">
        <v>63</v>
      </c>
      <c r="C12" s="3" cm="1">
        <f t="array" ref="C12">INTERCEPT(C2:C8,LOG($B$2:$B$8))</f>
        <v>36.719189870925177</v>
      </c>
      <c r="D12" s="3" cm="1">
        <f t="array" ref="D12">INTERCEPT(D2:D8,LOG($B$2:$B$8))</f>
        <v>36.957068761189774</v>
      </c>
      <c r="E12" s="3" cm="1">
        <f t="array" ref="E12">INTERCEPT(E2:E8,LOG($B$2:$B$8))</f>
        <v>36.054313341776528</v>
      </c>
      <c r="F12" s="3" cm="1">
        <f t="array" ref="F12">INTERCEPT(F2:F8,LOG($B$2:$B$8))</f>
        <v>36.941042400541761</v>
      </c>
      <c r="G12" s="3" cm="1">
        <f t="array" ref="G12">INTERCEPT(G2:G8,LOG($B$2:$B$8))</f>
        <v>37.048185620989116</v>
      </c>
      <c r="H12" s="3" cm="1">
        <f t="array" ref="H12">INTERCEPT(H2:H8,LOG($B$2:$B$8))</f>
        <v>38.14179792858306</v>
      </c>
      <c r="I12" s="3" cm="1">
        <f t="array" ref="I12">INTERCEPT(I2:I7,LOG($B$2:$B$7))</f>
        <v>36.375736842079775</v>
      </c>
      <c r="J12" s="3" cm="1">
        <f t="array" ref="J12">INTERCEPT(J2:J7,LOG($B$2:$B$7))</f>
        <v>36.038131417168515</v>
      </c>
      <c r="K12" s="3" cm="1">
        <f t="array" ref="K12">INTERCEPT(K2:K6,LOG($B$2:$B$6))</f>
        <v>36.941096687316893</v>
      </c>
      <c r="L12" s="3" cm="1">
        <f t="array" ref="L12">INTERCEPT(L2:L6,LOG($B$2:$B$6))</f>
        <v>36.181353918711345</v>
      </c>
    </row>
    <row r="13" spans="1:12" x14ac:dyDescent="0.2">
      <c r="A13" s="2" t="s">
        <v>64</v>
      </c>
      <c r="C13" s="3" cm="1">
        <f t="array" ref="C13">SLOPE(C2:C8,LOG($B$2:$B$8))</f>
        <v>-3.3192712238856728</v>
      </c>
      <c r="D13" s="3" cm="1">
        <f t="array" ref="D13">SLOPE(D2:D8,LOG($B$2:$B$8))</f>
        <v>-3.3545669033413836</v>
      </c>
      <c r="E13" s="3" cm="1">
        <f t="array" ref="E13">SLOPE(E2:E8,LOG($B$2:$B$8))</f>
        <v>-3.3538540999094644</v>
      </c>
      <c r="F13" s="3" cm="1">
        <f t="array" ref="F13">SLOPE(F2:F8,LOG($B$2:$B$8))</f>
        <v>-3.3882813453674316</v>
      </c>
      <c r="G13" s="3" cm="1">
        <f t="array" ref="G13">SLOPE(G2:G8,LOG($B$2:$B$8))</f>
        <v>-3.4153973375047957</v>
      </c>
      <c r="H13" s="3" cm="1">
        <f t="array" ref="H13">SLOPE(H2:H8,LOG($B$2:$B$8))</f>
        <v>-3.621910685584659</v>
      </c>
      <c r="I13" s="3" cm="1">
        <f t="array" ref="I13">SLOPE(I2:I7,LOG($B$2:$B$7))</f>
        <v>-3.3952193487258189</v>
      </c>
      <c r="J13" s="3" cm="1">
        <f t="array" ref="J13">SLOPE(J2:J7,LOG($B$2:$B$7))</f>
        <v>-3.3393320083618168</v>
      </c>
      <c r="K13" s="3" cm="1">
        <f t="array" ref="K13">SLOPE(K2:K6,LOG($B$2:$B$6))</f>
        <v>-3.393086624145508</v>
      </c>
      <c r="L13" s="3" cm="1">
        <f t="array" ref="L13">SLOPE(L2:L6,LOG($B$2:$B$6))</f>
        <v>-3.3685971895853681</v>
      </c>
    </row>
    <row r="14" spans="1:12" x14ac:dyDescent="0.2">
      <c r="A14" s="2" t="s">
        <v>65</v>
      </c>
      <c r="C14" s="19">
        <f>(10^(-1/C13)-1)*100</f>
        <v>100.11099506454512</v>
      </c>
      <c r="D14" s="19">
        <f t="shared" ref="D14:L14" si="11">(10^(-1/D13)-1)*100</f>
        <v>98.655720248193958</v>
      </c>
      <c r="E14" s="19">
        <f t="shared" si="11"/>
        <v>98.684702865373737</v>
      </c>
      <c r="F14" s="19">
        <f t="shared" si="11"/>
        <v>97.303540076982927</v>
      </c>
      <c r="G14" s="19">
        <f t="shared" si="11"/>
        <v>96.241882889310261</v>
      </c>
      <c r="H14" s="19">
        <f t="shared" si="11"/>
        <v>88.841467172375971</v>
      </c>
      <c r="I14" s="19">
        <f t="shared" si="11"/>
        <v>97.029738303751699</v>
      </c>
      <c r="J14" s="19">
        <f t="shared" si="11"/>
        <v>99.278795289316818</v>
      </c>
      <c r="K14" s="19">
        <f t="shared" si="11"/>
        <v>97.113744636549342</v>
      </c>
      <c r="L14" s="19">
        <f t="shared" si="11"/>
        <v>98.088597452426114</v>
      </c>
    </row>
    <row r="15" spans="1:12" x14ac:dyDescent="0.2">
      <c r="A15" s="2" t="s">
        <v>3</v>
      </c>
      <c r="C15" s="10">
        <f>10^(-1/C13)</f>
        <v>2.0011099506454513</v>
      </c>
      <c r="D15" s="10">
        <f t="shared" ref="D15:L15" si="12">10^(-1/D13)</f>
        <v>1.9865572024819396</v>
      </c>
      <c r="E15" s="10">
        <f t="shared" si="12"/>
        <v>1.9868470286537374</v>
      </c>
      <c r="F15" s="10">
        <f t="shared" si="12"/>
        <v>1.9730354007698292</v>
      </c>
      <c r="G15" s="10">
        <f t="shared" si="12"/>
        <v>1.9624188288931026</v>
      </c>
      <c r="H15" s="10">
        <f t="shared" si="12"/>
        <v>1.8884146717237598</v>
      </c>
      <c r="I15" s="10">
        <f t="shared" si="12"/>
        <v>1.970297383037517</v>
      </c>
      <c r="J15" s="10">
        <f t="shared" si="12"/>
        <v>1.9927879528931682</v>
      </c>
      <c r="K15" s="10">
        <f t="shared" si="12"/>
        <v>1.9711374463654934</v>
      </c>
      <c r="L15" s="10">
        <f t="shared" si="12"/>
        <v>1.9808859745242611</v>
      </c>
    </row>
    <row r="16" spans="1:12" x14ac:dyDescent="0.2">
      <c r="A16" s="11" t="s">
        <v>66</v>
      </c>
      <c r="C16" s="10" cm="1">
        <f t="array" ref="C16">RSQ(LOG($B$2:$B$8),C2:C8)</f>
        <v>0.99943723325014022</v>
      </c>
      <c r="D16" s="10" cm="1">
        <f t="array" ref="D16">RSQ(LOG($B$2:$B$8),D2:D8)</f>
        <v>0.99451589099334636</v>
      </c>
      <c r="E16" s="10" cm="1">
        <f t="array" ref="E16">RSQ(LOG($B$2:$B$8),E2:E8)</f>
        <v>0.99524139600717942</v>
      </c>
      <c r="F16" s="10" cm="1">
        <f t="array" ref="F16">RSQ(LOG($B$2:$B$8),F2:F8)</f>
        <v>0.99914224645005489</v>
      </c>
      <c r="G16" s="10" cm="1">
        <f t="array" ref="G16">RSQ(LOG($B$2:$B$8),G2:G8)</f>
        <v>0.99977598908125198</v>
      </c>
      <c r="H16" s="10" cm="1">
        <f t="array" ref="H16">RSQ(LOG($B$2:$B$8),H2:H8)</f>
        <v>0.99828282940948798</v>
      </c>
      <c r="I16" s="10" cm="1">
        <f t="array" ref="I16">RSQ(LOG($B$2:$B$7),I2:I7)</f>
        <v>0.99944196836699106</v>
      </c>
      <c r="J16" s="10" cm="1">
        <f t="array" ref="J16">RSQ(LOG($B$2:$B$8),J2:J8)</f>
        <v>0.98803864689482312</v>
      </c>
      <c r="K16" s="10" cm="1">
        <f t="array" ref="K16">RSQ(LOG($B$2:$B$6),K2:K6)</f>
        <v>0.99884594657895132</v>
      </c>
      <c r="L16" s="10" cm="1">
        <f t="array" ref="L16">RSQ(LOG($B$2:$B$6),L2:L6)</f>
        <v>0.99698173765341491</v>
      </c>
    </row>
    <row r="17" spans="1:12" x14ac:dyDescent="0.2">
      <c r="A17" s="2" t="s">
        <v>67</v>
      </c>
      <c r="C17" s="5" t="s">
        <v>147</v>
      </c>
      <c r="D17" s="5" t="s">
        <v>147</v>
      </c>
      <c r="E17" s="5" t="s">
        <v>147</v>
      </c>
      <c r="F17" s="5" t="s">
        <v>147</v>
      </c>
      <c r="G17" s="5" t="s">
        <v>147</v>
      </c>
      <c r="H17" s="5" t="s">
        <v>147</v>
      </c>
      <c r="I17" s="5" t="s">
        <v>147</v>
      </c>
      <c r="J17" s="5" t="s">
        <v>147</v>
      </c>
      <c r="K17" s="5" t="s">
        <v>155</v>
      </c>
      <c r="L17" s="5" t="s">
        <v>155</v>
      </c>
    </row>
    <row r="18" spans="1:12" x14ac:dyDescent="0.2">
      <c r="A18" s="2" t="s">
        <v>76</v>
      </c>
      <c r="C18" s="2" t="s">
        <v>10</v>
      </c>
      <c r="D18" s="2" t="s">
        <v>77</v>
      </c>
      <c r="E18" s="2" t="s">
        <v>16</v>
      </c>
      <c r="F18" s="2" t="s">
        <v>19</v>
      </c>
      <c r="G18" s="2" t="s">
        <v>22</v>
      </c>
      <c r="H18" s="2" t="s">
        <v>28</v>
      </c>
      <c r="I18" s="2" t="s">
        <v>31</v>
      </c>
      <c r="J18" s="2" t="s">
        <v>34</v>
      </c>
      <c r="K18" s="2" t="s">
        <v>41</v>
      </c>
      <c r="L18" s="2" t="s">
        <v>129</v>
      </c>
    </row>
    <row r="19" spans="1:12" x14ac:dyDescent="0.2">
      <c r="A19" s="2" t="s">
        <v>144</v>
      </c>
      <c r="C19" s="5">
        <v>221123</v>
      </c>
      <c r="D19" s="5">
        <v>221123</v>
      </c>
      <c r="E19" s="5">
        <v>221123</v>
      </c>
      <c r="F19" s="5">
        <v>221124</v>
      </c>
      <c r="G19" s="5">
        <v>221123</v>
      </c>
      <c r="H19" s="5">
        <v>221123</v>
      </c>
      <c r="I19" s="5">
        <v>221124</v>
      </c>
      <c r="J19" s="5">
        <v>221123</v>
      </c>
      <c r="K19" s="5">
        <v>221123</v>
      </c>
      <c r="L19" s="5">
        <v>221123</v>
      </c>
    </row>
    <row r="20" spans="1:12" x14ac:dyDescent="0.2">
      <c r="A20" s="2" t="s">
        <v>148</v>
      </c>
      <c r="C20" t="s">
        <v>149</v>
      </c>
      <c r="D20" t="s">
        <v>149</v>
      </c>
      <c r="E20" t="s">
        <v>149</v>
      </c>
      <c r="F20" t="s">
        <v>149</v>
      </c>
      <c r="G20" t="s">
        <v>149</v>
      </c>
      <c r="H20" t="s">
        <v>149</v>
      </c>
      <c r="I20" t="s">
        <v>149</v>
      </c>
      <c r="J20" t="s">
        <v>149</v>
      </c>
      <c r="K20" t="s">
        <v>149</v>
      </c>
      <c r="L20" t="s">
        <v>149</v>
      </c>
    </row>
    <row r="21" spans="1:12" x14ac:dyDescent="0.2">
      <c r="A21" s="2"/>
    </row>
    <row r="22" spans="1:12" x14ac:dyDescent="0.2">
      <c r="A22" s="2"/>
    </row>
    <row r="23" spans="1:12" x14ac:dyDescent="0.2">
      <c r="A23" s="2"/>
    </row>
    <row r="25" spans="1:12" s="20" customFormat="1" x14ac:dyDescent="0.2">
      <c r="A25" s="29" t="s">
        <v>132</v>
      </c>
    </row>
    <row r="26" spans="1:12" s="4" customFormat="1" x14ac:dyDescent="0.2">
      <c r="A26" s="4" t="s">
        <v>0</v>
      </c>
      <c r="B26" s="4" t="s">
        <v>133</v>
      </c>
      <c r="C26" s="4" t="s">
        <v>134</v>
      </c>
      <c r="D26" s="4" t="s">
        <v>135</v>
      </c>
      <c r="E26" s="4" t="s">
        <v>136</v>
      </c>
      <c r="F26" s="4" t="s">
        <v>137</v>
      </c>
      <c r="G26" s="4" t="s">
        <v>138</v>
      </c>
    </row>
    <row r="27" spans="1:12" x14ac:dyDescent="0.2">
      <c r="A27" s="20" t="s">
        <v>131</v>
      </c>
      <c r="B27" s="3">
        <v>10000000</v>
      </c>
      <c r="C27" s="32">
        <v>13.445009231567383</v>
      </c>
      <c r="D27" s="32">
        <v>13.483529090881348</v>
      </c>
      <c r="E27" s="32">
        <v>13.445141792297363</v>
      </c>
      <c r="F27" s="33">
        <f>AVERAGE(C27:E27)</f>
        <v>13.457893371582031</v>
      </c>
      <c r="G27">
        <f>STDEV(C27:E27)</f>
        <v>2.2201283095393182E-2</v>
      </c>
    </row>
    <row r="28" spans="1:12" x14ac:dyDescent="0.2">
      <c r="A28" s="20" t="s">
        <v>131</v>
      </c>
      <c r="B28" s="3">
        <f>B27/10</f>
        <v>1000000</v>
      </c>
      <c r="C28" s="32">
        <v>16.6875</v>
      </c>
      <c r="D28" s="32">
        <v>16.706254959106445</v>
      </c>
      <c r="E28" s="32">
        <v>16.679206848144531</v>
      </c>
      <c r="F28" s="33">
        <f t="shared" ref="F28:F91" si="13">AVERAGE(C28:E28)</f>
        <v>16.69098726908366</v>
      </c>
      <c r="G28">
        <f t="shared" ref="G28:G91" si="14">STDEV(C28:E28)</f>
        <v>1.3857159192936555E-2</v>
      </c>
    </row>
    <row r="29" spans="1:12" x14ac:dyDescent="0.2">
      <c r="A29" s="20" t="s">
        <v>131</v>
      </c>
      <c r="B29" s="3">
        <f t="shared" ref="B29:B33" si="15">B28/10</f>
        <v>100000</v>
      </c>
      <c r="C29" s="32">
        <v>20.042263031005859</v>
      </c>
      <c r="D29" s="32">
        <v>20.062099456787109</v>
      </c>
      <c r="E29" s="32">
        <v>20.052204132080078</v>
      </c>
      <c r="F29" s="33">
        <f t="shared" si="13"/>
        <v>20.052188873291016</v>
      </c>
      <c r="G29">
        <f t="shared" si="14"/>
        <v>9.918221693768629E-3</v>
      </c>
    </row>
    <row r="30" spans="1:12" x14ac:dyDescent="0.2">
      <c r="A30" s="20" t="s">
        <v>131</v>
      </c>
      <c r="B30" s="3">
        <f t="shared" si="15"/>
        <v>10000</v>
      </c>
      <c r="C30" s="32">
        <v>23.591691970825195</v>
      </c>
      <c r="D30" s="32">
        <v>23.490087509155273</v>
      </c>
      <c r="E30" s="32">
        <v>23.704965591430664</v>
      </c>
      <c r="F30" s="33">
        <f t="shared" si="13"/>
        <v>23.595581690470379</v>
      </c>
      <c r="G30">
        <f t="shared" si="14"/>
        <v>0.10749183689832439</v>
      </c>
    </row>
    <row r="31" spans="1:12" x14ac:dyDescent="0.2">
      <c r="A31" s="20" t="s">
        <v>131</v>
      </c>
      <c r="B31" s="3">
        <f t="shared" si="15"/>
        <v>1000</v>
      </c>
      <c r="C31" s="32">
        <v>27.069984436035199</v>
      </c>
      <c r="D31" s="32">
        <v>26.920738220214844</v>
      </c>
      <c r="E31" s="32">
        <v>26.946161270141602</v>
      </c>
      <c r="F31" s="33">
        <f t="shared" si="13"/>
        <v>26.978961308797214</v>
      </c>
      <c r="G31">
        <f t="shared" si="14"/>
        <v>7.9846666405250094E-2</v>
      </c>
    </row>
    <row r="32" spans="1:12" x14ac:dyDescent="0.2">
      <c r="A32" s="20" t="s">
        <v>131</v>
      </c>
      <c r="B32" s="3">
        <f t="shared" si="15"/>
        <v>100</v>
      </c>
      <c r="C32" s="32">
        <v>30.199359893798828</v>
      </c>
      <c r="D32" s="32">
        <v>30.178421020507812</v>
      </c>
      <c r="E32" t="s">
        <v>145</v>
      </c>
      <c r="F32" s="33">
        <f t="shared" si="13"/>
        <v>30.18889045715332</v>
      </c>
      <c r="G32">
        <f t="shared" si="14"/>
        <v>1.480601929448303E-2</v>
      </c>
    </row>
    <row r="33" spans="1:7" x14ac:dyDescent="0.2">
      <c r="A33" s="20" t="s">
        <v>131</v>
      </c>
      <c r="B33" s="3">
        <f t="shared" si="15"/>
        <v>10</v>
      </c>
      <c r="C33" s="32">
        <v>33.621170043945312</v>
      </c>
      <c r="D33" s="32">
        <v>32.639293670654297</v>
      </c>
      <c r="E33" t="s">
        <v>145</v>
      </c>
      <c r="F33" s="33">
        <f t="shared" si="13"/>
        <v>33.130231857299805</v>
      </c>
      <c r="G33">
        <f t="shared" si="14"/>
        <v>0.69429144184093106</v>
      </c>
    </row>
    <row r="34" spans="1:7" x14ac:dyDescent="0.2">
      <c r="A34" s="20" t="s">
        <v>131</v>
      </c>
      <c r="B34" t="s">
        <v>139</v>
      </c>
      <c r="C34" s="32">
        <v>36.189224243164062</v>
      </c>
      <c r="D34" s="32">
        <v>34.279415130615234</v>
      </c>
      <c r="E34" s="32">
        <v>34.879425048828125</v>
      </c>
      <c r="F34" s="33">
        <f t="shared" si="13"/>
        <v>35.116021474202476</v>
      </c>
      <c r="G34">
        <f t="shared" si="14"/>
        <v>0.97664021674748558</v>
      </c>
    </row>
    <row r="35" spans="1:7" x14ac:dyDescent="0.2">
      <c r="A35" s="31" t="s">
        <v>141</v>
      </c>
      <c r="B35" s="3">
        <v>10000000</v>
      </c>
      <c r="C35" s="32">
        <v>13.187078475952148</v>
      </c>
      <c r="D35" s="32">
        <v>13.188164710998535</v>
      </c>
      <c r="E35" s="32">
        <v>13.226677894592285</v>
      </c>
      <c r="F35" s="33">
        <f t="shared" si="13"/>
        <v>13.200640360514322</v>
      </c>
      <c r="G35">
        <f t="shared" si="14"/>
        <v>2.2555705759070885E-2</v>
      </c>
    </row>
    <row r="36" spans="1:7" x14ac:dyDescent="0.2">
      <c r="A36" s="31" t="s">
        <v>141</v>
      </c>
      <c r="B36" s="3">
        <f>B35/10</f>
        <v>1000000</v>
      </c>
      <c r="C36" s="32">
        <v>16.526683807373047</v>
      </c>
      <c r="D36" s="32">
        <v>16.589698791503906</v>
      </c>
      <c r="E36" s="32">
        <v>16.579483032226562</v>
      </c>
      <c r="F36" s="33">
        <f t="shared" si="13"/>
        <v>16.565288543701172</v>
      </c>
      <c r="G36">
        <f t="shared" si="14"/>
        <v>3.3820625136537608E-2</v>
      </c>
    </row>
    <row r="37" spans="1:7" x14ac:dyDescent="0.2">
      <c r="A37" s="31" t="s">
        <v>141</v>
      </c>
      <c r="B37" s="3">
        <f t="shared" ref="B37:B41" si="16">B36/10</f>
        <v>100000</v>
      </c>
      <c r="C37" s="32">
        <v>20.152315139770508</v>
      </c>
      <c r="D37" s="32">
        <v>20.319303512573242</v>
      </c>
      <c r="E37" s="32">
        <v>20.226751327514648</v>
      </c>
      <c r="F37" s="33">
        <f t="shared" si="13"/>
        <v>20.232789993286133</v>
      </c>
      <c r="G37">
        <f t="shared" si="14"/>
        <v>8.3657804633226071E-2</v>
      </c>
    </row>
    <row r="38" spans="1:7" x14ac:dyDescent="0.2">
      <c r="A38" s="31" t="s">
        <v>141</v>
      </c>
      <c r="B38" s="3">
        <f t="shared" si="16"/>
        <v>10000</v>
      </c>
      <c r="C38" s="32">
        <v>23.726720809936499</v>
      </c>
      <c r="D38" s="32">
        <v>23.972414016723633</v>
      </c>
      <c r="E38" s="32">
        <v>23.940690994262695</v>
      </c>
      <c r="F38" s="33">
        <f t="shared" si="13"/>
        <v>23.879941940307607</v>
      </c>
      <c r="G38">
        <f t="shared" si="14"/>
        <v>0.13363803213406308</v>
      </c>
    </row>
    <row r="39" spans="1:7" x14ac:dyDescent="0.2">
      <c r="A39" s="31" t="s">
        <v>141</v>
      </c>
      <c r="B39" s="3">
        <f t="shared" si="16"/>
        <v>1000</v>
      </c>
      <c r="C39" s="32">
        <v>27.460094451904297</v>
      </c>
      <c r="D39" s="32">
        <v>27.678518295288086</v>
      </c>
      <c r="E39" s="32" t="s">
        <v>145</v>
      </c>
      <c r="F39" s="33">
        <f t="shared" si="13"/>
        <v>27.569306373596191</v>
      </c>
      <c r="G39">
        <f t="shared" si="14"/>
        <v>0.15444898082950567</v>
      </c>
    </row>
    <row r="40" spans="1:7" x14ac:dyDescent="0.2">
      <c r="A40" s="31" t="s">
        <v>141</v>
      </c>
      <c r="B40" s="3">
        <f t="shared" si="16"/>
        <v>100</v>
      </c>
      <c r="C40" s="32">
        <v>30.549032211303711</v>
      </c>
      <c r="D40" s="32">
        <v>30.638437271118164</v>
      </c>
      <c r="E40" s="32">
        <v>30.753732681274414</v>
      </c>
      <c r="F40" s="33">
        <f t="shared" si="13"/>
        <v>30.647067387898762</v>
      </c>
      <c r="G40">
        <f t="shared" si="14"/>
        <v>0.10262275472960061</v>
      </c>
    </row>
    <row r="41" spans="1:7" x14ac:dyDescent="0.2">
      <c r="A41" s="31" t="s">
        <v>141</v>
      </c>
      <c r="B41" s="3">
        <f t="shared" si="16"/>
        <v>10</v>
      </c>
      <c r="C41" s="32">
        <v>32.4473876953125</v>
      </c>
      <c r="D41" s="32">
        <v>32.430809020996094</v>
      </c>
      <c r="E41" s="32">
        <v>33.151523590087891</v>
      </c>
      <c r="F41" s="33">
        <f t="shared" si="13"/>
        <v>32.676573435465492</v>
      </c>
      <c r="G41">
        <f t="shared" si="14"/>
        <v>0.41140241873669225</v>
      </c>
    </row>
    <row r="42" spans="1:7" x14ac:dyDescent="0.2">
      <c r="A42" s="31" t="s">
        <v>141</v>
      </c>
      <c r="B42" t="s">
        <v>139</v>
      </c>
      <c r="C42" s="32">
        <v>33.045631408691406</v>
      </c>
      <c r="D42" s="32">
        <v>32.218345642089844</v>
      </c>
      <c r="E42" s="32">
        <v>32.698699951171875</v>
      </c>
      <c r="F42" s="33">
        <f t="shared" si="13"/>
        <v>32.654225667317711</v>
      </c>
      <c r="G42">
        <f t="shared" si="14"/>
        <v>0.41543219223916611</v>
      </c>
    </row>
    <row r="43" spans="1:7" x14ac:dyDescent="0.2">
      <c r="A43" s="30" t="s">
        <v>142</v>
      </c>
      <c r="B43" s="3">
        <v>10000000</v>
      </c>
      <c r="C43" s="32">
        <v>12.401326179504395</v>
      </c>
      <c r="D43" s="32">
        <v>12.43213939666748</v>
      </c>
      <c r="E43" s="32">
        <v>12.492781639099121</v>
      </c>
      <c r="F43" s="33">
        <f t="shared" si="13"/>
        <v>12.442082405090332</v>
      </c>
      <c r="G43">
        <f t="shared" si="14"/>
        <v>4.6531417717423341E-2</v>
      </c>
    </row>
    <row r="44" spans="1:7" x14ac:dyDescent="0.2">
      <c r="A44" s="30" t="s">
        <v>142</v>
      </c>
      <c r="B44" s="3">
        <f>B43/10</f>
        <v>1000000</v>
      </c>
      <c r="C44" s="32">
        <v>15.584552764892578</v>
      </c>
      <c r="D44" s="32">
        <v>15.829310417175293</v>
      </c>
      <c r="E44" s="32">
        <v>15.794876098632812</v>
      </c>
      <c r="F44" s="33">
        <f t="shared" si="13"/>
        <v>15.736246426900228</v>
      </c>
      <c r="G44">
        <f t="shared" si="14"/>
        <v>0.13249398436661025</v>
      </c>
    </row>
    <row r="45" spans="1:7" x14ac:dyDescent="0.2">
      <c r="A45" s="30" t="s">
        <v>142</v>
      </c>
      <c r="B45" s="3">
        <f t="shared" ref="B45:B49" si="17">B44/10</f>
        <v>100000</v>
      </c>
      <c r="C45" s="32">
        <v>19.220272064208999</v>
      </c>
      <c r="D45" s="32">
        <v>19.211324691772461</v>
      </c>
      <c r="E45" s="32">
        <v>19.529653549194336</v>
      </c>
      <c r="F45" s="33">
        <f t="shared" si="13"/>
        <v>19.320416768391933</v>
      </c>
      <c r="G45">
        <f t="shared" si="14"/>
        <v>0.18125958374330034</v>
      </c>
    </row>
    <row r="46" spans="1:7" x14ac:dyDescent="0.2">
      <c r="A46" s="30" t="s">
        <v>142</v>
      </c>
      <c r="B46" s="3">
        <f t="shared" si="17"/>
        <v>10000</v>
      </c>
      <c r="C46" s="32">
        <v>22.704730987548828</v>
      </c>
      <c r="D46" s="32">
        <v>22.765886306762695</v>
      </c>
      <c r="E46" s="32">
        <v>22.734638214111328</v>
      </c>
      <c r="F46" s="33">
        <f t="shared" si="13"/>
        <v>22.735085169474285</v>
      </c>
      <c r="G46">
        <f t="shared" si="14"/>
        <v>3.0580109448134E-2</v>
      </c>
    </row>
    <row r="47" spans="1:7" x14ac:dyDescent="0.2">
      <c r="A47" s="30" t="s">
        <v>142</v>
      </c>
      <c r="B47" s="3">
        <f t="shared" si="17"/>
        <v>1000</v>
      </c>
      <c r="C47" s="32">
        <v>26.391908645629883</v>
      </c>
      <c r="D47" s="32">
        <v>26.236417770385742</v>
      </c>
      <c r="E47" s="32">
        <v>26.219953536987305</v>
      </c>
      <c r="F47" s="33">
        <f t="shared" si="13"/>
        <v>26.282759984334309</v>
      </c>
      <c r="G47">
        <f t="shared" si="14"/>
        <v>9.4883299069495525E-2</v>
      </c>
    </row>
    <row r="48" spans="1:7" x14ac:dyDescent="0.2">
      <c r="A48" s="30" t="s">
        <v>142</v>
      </c>
      <c r="B48" s="3">
        <f t="shared" si="17"/>
        <v>100</v>
      </c>
      <c r="C48" s="32">
        <v>30.272348403930664</v>
      </c>
      <c r="D48" s="32">
        <v>29.827247619628906</v>
      </c>
      <c r="E48" s="32">
        <v>30.268659591674805</v>
      </c>
      <c r="F48" s="33">
        <f t="shared" si="13"/>
        <v>30.122751871744793</v>
      </c>
      <c r="G48">
        <f t="shared" si="14"/>
        <v>0.25592083560720752</v>
      </c>
    </row>
    <row r="49" spans="1:7" x14ac:dyDescent="0.2">
      <c r="A49" s="30" t="s">
        <v>142</v>
      </c>
      <c r="B49" s="3">
        <f t="shared" si="17"/>
        <v>10</v>
      </c>
      <c r="C49" s="32">
        <v>31.727779388427734</v>
      </c>
      <c r="D49" s="32">
        <v>32.332710266113281</v>
      </c>
      <c r="E49" s="32">
        <v>31.438318252563477</v>
      </c>
      <c r="F49" s="33">
        <f t="shared" si="13"/>
        <v>31.832935969034832</v>
      </c>
      <c r="G49">
        <f t="shared" si="14"/>
        <v>0.45637451540281154</v>
      </c>
    </row>
    <row r="50" spans="1:7" x14ac:dyDescent="0.2">
      <c r="A50" s="30" t="s">
        <v>142</v>
      </c>
      <c r="B50" t="s">
        <v>139</v>
      </c>
      <c r="C50" s="32">
        <v>32.365314483642578</v>
      </c>
      <c r="D50" s="32">
        <v>31.973648071289062</v>
      </c>
      <c r="E50" s="32">
        <v>32.507537841796875</v>
      </c>
      <c r="F50" s="33">
        <f t="shared" si="13"/>
        <v>32.282166798909508</v>
      </c>
      <c r="G50">
        <f t="shared" si="14"/>
        <v>0.27648639183615176</v>
      </c>
    </row>
    <row r="51" spans="1:7" x14ac:dyDescent="0.2">
      <c r="A51" s="9" t="s">
        <v>143</v>
      </c>
      <c r="B51" s="3">
        <v>10000000</v>
      </c>
      <c r="C51" s="32">
        <v>13.082609176635742</v>
      </c>
      <c r="D51" s="32">
        <v>12.959701538085938</v>
      </c>
      <c r="E51" s="32">
        <v>13.008096694946289</v>
      </c>
      <c r="F51" s="33">
        <f t="shared" si="13"/>
        <v>13.016802469889322</v>
      </c>
      <c r="G51">
        <f t="shared" si="14"/>
        <v>6.1914576567165716E-2</v>
      </c>
    </row>
    <row r="52" spans="1:7" x14ac:dyDescent="0.2">
      <c r="A52" s="9" t="s">
        <v>143</v>
      </c>
      <c r="B52" s="3">
        <f>B51/10</f>
        <v>1000000</v>
      </c>
      <c r="C52" s="32">
        <v>16.534744262695312</v>
      </c>
      <c r="D52" s="32">
        <v>16.567607879638672</v>
      </c>
      <c r="E52" s="32">
        <v>16.52534294128418</v>
      </c>
      <c r="F52" s="33">
        <f t="shared" si="13"/>
        <v>16.542565027872723</v>
      </c>
      <c r="G52">
        <f t="shared" si="14"/>
        <v>2.2191316533666593E-2</v>
      </c>
    </row>
    <row r="53" spans="1:7" x14ac:dyDescent="0.2">
      <c r="A53" s="9" t="s">
        <v>143</v>
      </c>
      <c r="B53" s="3">
        <f t="shared" ref="B53:B57" si="18">B52/10</f>
        <v>100000</v>
      </c>
      <c r="C53" s="32">
        <v>20.090305328369141</v>
      </c>
      <c r="D53" s="32">
        <v>20.051809310913086</v>
      </c>
      <c r="E53" s="32">
        <v>20.193056106567383</v>
      </c>
      <c r="F53" s="33">
        <f t="shared" si="13"/>
        <v>20.111723581949871</v>
      </c>
      <c r="G53">
        <f t="shared" si="14"/>
        <v>7.30186312559198E-2</v>
      </c>
    </row>
    <row r="54" spans="1:7" x14ac:dyDescent="0.2">
      <c r="A54" s="9" t="s">
        <v>143</v>
      </c>
      <c r="B54" s="3">
        <f t="shared" si="18"/>
        <v>10000</v>
      </c>
      <c r="C54" s="32">
        <v>23.6385498046875</v>
      </c>
      <c r="D54" s="32">
        <v>23.512907028198242</v>
      </c>
      <c r="E54" s="32">
        <v>23.582168579101562</v>
      </c>
      <c r="F54" s="33">
        <f t="shared" si="13"/>
        <v>23.577875137329102</v>
      </c>
      <c r="G54">
        <f t="shared" si="14"/>
        <v>6.2931328070147494E-2</v>
      </c>
    </row>
    <row r="55" spans="1:7" x14ac:dyDescent="0.2">
      <c r="A55" s="9" t="s">
        <v>143</v>
      </c>
      <c r="B55" s="3">
        <f t="shared" si="18"/>
        <v>1000</v>
      </c>
      <c r="C55" s="32">
        <v>27.076108932495117</v>
      </c>
      <c r="D55" s="32">
        <v>27.039789199829102</v>
      </c>
      <c r="E55" s="32">
        <v>26.979970932006836</v>
      </c>
      <c r="F55" s="33">
        <f t="shared" si="13"/>
        <v>27.031956354777019</v>
      </c>
      <c r="G55">
        <f t="shared" si="14"/>
        <v>4.8545276605233709E-2</v>
      </c>
    </row>
    <row r="56" spans="1:7" x14ac:dyDescent="0.2">
      <c r="A56" s="9" t="s">
        <v>143</v>
      </c>
      <c r="B56" s="3">
        <f t="shared" si="18"/>
        <v>100</v>
      </c>
      <c r="C56" s="32">
        <v>30.176122665405273</v>
      </c>
      <c r="D56" s="32">
        <v>30.143470764160156</v>
      </c>
      <c r="E56" s="32">
        <v>30.329328536987305</v>
      </c>
      <c r="F56" s="33">
        <f t="shared" si="13"/>
        <v>30.216307322184246</v>
      </c>
      <c r="G56">
        <f t="shared" si="14"/>
        <v>9.923146129328024E-2</v>
      </c>
    </row>
    <row r="57" spans="1:7" x14ac:dyDescent="0.2">
      <c r="A57" s="9" t="s">
        <v>143</v>
      </c>
      <c r="B57" s="3">
        <f t="shared" si="18"/>
        <v>10</v>
      </c>
      <c r="C57" s="32">
        <v>32.56884765625</v>
      </c>
      <c r="D57" s="32">
        <v>33.711734771728516</v>
      </c>
      <c r="E57" s="32">
        <v>33.373985290527344</v>
      </c>
      <c r="F57" s="33">
        <f t="shared" si="13"/>
        <v>33.218189239501953</v>
      </c>
      <c r="G57">
        <f t="shared" si="14"/>
        <v>0.58715589651985112</v>
      </c>
    </row>
    <row r="58" spans="1:7" x14ac:dyDescent="0.2">
      <c r="A58" s="9" t="s">
        <v>143</v>
      </c>
      <c r="B58" t="s">
        <v>139</v>
      </c>
      <c r="C58" t="s">
        <v>156</v>
      </c>
      <c r="D58" t="s">
        <v>156</v>
      </c>
      <c r="E58" t="s">
        <v>156</v>
      </c>
      <c r="F58" s="33" t="s">
        <v>9</v>
      </c>
      <c r="G58" t="e">
        <f t="shared" si="14"/>
        <v>#DIV/0!</v>
      </c>
    </row>
    <row r="59" spans="1:7" x14ac:dyDescent="0.2">
      <c r="A59" s="38" t="s">
        <v>151</v>
      </c>
      <c r="B59" s="3">
        <v>10000000</v>
      </c>
      <c r="C59" s="32">
        <v>13.204139709472656</v>
      </c>
      <c r="D59" s="32">
        <v>13.156026840209961</v>
      </c>
      <c r="E59" s="32">
        <v>13.142858505249023</v>
      </c>
      <c r="F59" s="33">
        <f t="shared" si="13"/>
        <v>13.167675018310547</v>
      </c>
      <c r="G59">
        <f t="shared" si="14"/>
        <v>3.2258433588317266E-2</v>
      </c>
    </row>
    <row r="60" spans="1:7" x14ac:dyDescent="0.2">
      <c r="A60" s="38" t="s">
        <v>151</v>
      </c>
      <c r="B60" s="3">
        <f>B59/10</f>
        <v>1000000</v>
      </c>
      <c r="C60" s="32">
        <v>16.539691925048828</v>
      </c>
      <c r="D60" s="32">
        <v>16.510673522949219</v>
      </c>
      <c r="E60" s="32">
        <v>16.522302627563477</v>
      </c>
      <c r="F60" s="33">
        <f t="shared" si="13"/>
        <v>16.52422269185384</v>
      </c>
      <c r="G60">
        <f t="shared" si="14"/>
        <v>1.4604174069867949E-2</v>
      </c>
    </row>
    <row r="61" spans="1:7" x14ac:dyDescent="0.2">
      <c r="A61" s="38" t="s">
        <v>151</v>
      </c>
      <c r="B61" s="3">
        <f t="shared" ref="B61:B65" si="19">B60/10</f>
        <v>100000</v>
      </c>
      <c r="C61" s="32">
        <v>19.956830978393555</v>
      </c>
      <c r="D61" s="32">
        <v>19.981897354125977</v>
      </c>
      <c r="E61" s="32">
        <v>19.940902709960938</v>
      </c>
      <c r="F61" s="33">
        <f t="shared" si="13"/>
        <v>19.959877014160156</v>
      </c>
      <c r="G61">
        <f t="shared" si="14"/>
        <v>2.0666372758012103E-2</v>
      </c>
    </row>
    <row r="62" spans="1:7" x14ac:dyDescent="0.2">
      <c r="A62" s="38" t="s">
        <v>151</v>
      </c>
      <c r="B62" s="3">
        <f t="shared" si="19"/>
        <v>10000</v>
      </c>
      <c r="C62" s="32">
        <v>23.455747604370117</v>
      </c>
      <c r="D62" s="32">
        <v>23.278264999389648</v>
      </c>
      <c r="E62" s="32">
        <v>23.27406120300293</v>
      </c>
      <c r="F62" s="33">
        <f t="shared" si="13"/>
        <v>23.336024602254231</v>
      </c>
      <c r="G62">
        <f t="shared" si="14"/>
        <v>0.10370446423730019</v>
      </c>
    </row>
    <row r="63" spans="1:7" x14ac:dyDescent="0.2">
      <c r="A63" s="38" t="s">
        <v>151</v>
      </c>
      <c r="B63" s="3">
        <f t="shared" si="19"/>
        <v>1000</v>
      </c>
      <c r="C63" s="32">
        <v>26.880434036254883</v>
      </c>
      <c r="D63" s="32">
        <v>26.693637847900391</v>
      </c>
      <c r="E63" t="s">
        <v>145</v>
      </c>
      <c r="F63" s="33">
        <f t="shared" si="13"/>
        <v>26.787035942077637</v>
      </c>
      <c r="G63">
        <f t="shared" si="14"/>
        <v>0.13208485148526103</v>
      </c>
    </row>
    <row r="64" spans="1:7" x14ac:dyDescent="0.2">
      <c r="A64" s="38" t="s">
        <v>151</v>
      </c>
      <c r="B64" s="3">
        <f t="shared" si="19"/>
        <v>100</v>
      </c>
      <c r="C64" s="32">
        <v>30.391733169555664</v>
      </c>
      <c r="D64" s="32">
        <v>30.328018188476562</v>
      </c>
      <c r="E64" s="32">
        <v>30.595985412597656</v>
      </c>
      <c r="F64" s="33">
        <f t="shared" si="13"/>
        <v>30.438578923543293</v>
      </c>
      <c r="G64">
        <f t="shared" si="14"/>
        <v>0.13999107757565588</v>
      </c>
    </row>
    <row r="65" spans="1:7" x14ac:dyDescent="0.2">
      <c r="A65" s="38" t="s">
        <v>151</v>
      </c>
      <c r="B65" s="3">
        <f t="shared" si="19"/>
        <v>10</v>
      </c>
      <c r="C65" s="32">
        <v>34.159465789794922</v>
      </c>
      <c r="D65" s="32">
        <v>32.826053619384766</v>
      </c>
      <c r="E65" t="s">
        <v>145</v>
      </c>
      <c r="F65" s="33">
        <f t="shared" si="13"/>
        <v>33.492759704589844</v>
      </c>
      <c r="G65">
        <f t="shared" si="14"/>
        <v>0.94286478781369376</v>
      </c>
    </row>
    <row r="66" spans="1:7" x14ac:dyDescent="0.2">
      <c r="A66" s="38" t="s">
        <v>151</v>
      </c>
      <c r="B66" t="s">
        <v>139</v>
      </c>
      <c r="C66" t="s">
        <v>156</v>
      </c>
      <c r="D66" t="s">
        <v>156</v>
      </c>
      <c r="E66" t="s">
        <v>156</v>
      </c>
      <c r="F66" s="33" t="s">
        <v>9</v>
      </c>
      <c r="G66" t="e">
        <f t="shared" si="14"/>
        <v>#DIV/0!</v>
      </c>
    </row>
    <row r="67" spans="1:7" x14ac:dyDescent="0.2">
      <c r="A67" s="39" t="s">
        <v>152</v>
      </c>
      <c r="B67" s="3">
        <v>10000000</v>
      </c>
      <c r="C67" s="32">
        <v>12.531970977783203</v>
      </c>
      <c r="D67" s="32">
        <v>12.549056053161621</v>
      </c>
      <c r="E67" s="32">
        <v>12.522183418273926</v>
      </c>
      <c r="F67" s="33">
        <f t="shared" si="13"/>
        <v>12.534403483072916</v>
      </c>
      <c r="G67">
        <f t="shared" si="14"/>
        <v>1.3600457269526202E-2</v>
      </c>
    </row>
    <row r="68" spans="1:7" x14ac:dyDescent="0.2">
      <c r="A68" s="39" t="s">
        <v>152</v>
      </c>
      <c r="B68" s="3">
        <f>B67/10</f>
        <v>1000000</v>
      </c>
      <c r="C68" s="32">
        <v>16.318485260009766</v>
      </c>
      <c r="D68" s="32">
        <v>16.305734634399414</v>
      </c>
      <c r="E68" s="32">
        <v>16.282915115356445</v>
      </c>
      <c r="F68" s="33">
        <f t="shared" si="13"/>
        <v>16.302378336588543</v>
      </c>
      <c r="G68">
        <f t="shared" si="14"/>
        <v>1.8021025190343168E-2</v>
      </c>
    </row>
    <row r="69" spans="1:7" x14ac:dyDescent="0.2">
      <c r="A69" s="39" t="s">
        <v>152</v>
      </c>
      <c r="B69" s="3">
        <f t="shared" ref="B69:B73" si="20">B68/10</f>
        <v>100000</v>
      </c>
      <c r="C69" s="32">
        <v>20.115823745727539</v>
      </c>
      <c r="D69" s="32">
        <v>19.984611511230469</v>
      </c>
      <c r="E69" s="32">
        <v>20.047416687011719</v>
      </c>
      <c r="F69" s="33">
        <f t="shared" si="13"/>
        <v>20.049283981323242</v>
      </c>
      <c r="G69">
        <f t="shared" si="14"/>
        <v>6.5626044459977384E-2</v>
      </c>
    </row>
    <row r="70" spans="1:7" x14ac:dyDescent="0.2">
      <c r="A70" s="39" t="s">
        <v>152</v>
      </c>
      <c r="B70" s="3">
        <f t="shared" si="20"/>
        <v>10000</v>
      </c>
      <c r="C70" s="32">
        <v>24.144573211669922</v>
      </c>
      <c r="D70" s="32">
        <v>24.099615097045898</v>
      </c>
      <c r="E70" s="32">
        <v>24.081232070922852</v>
      </c>
      <c r="F70" s="33">
        <f t="shared" si="13"/>
        <v>24.108473459879558</v>
      </c>
      <c r="G70">
        <f t="shared" si="14"/>
        <v>3.2586469152926102E-2</v>
      </c>
    </row>
    <row r="71" spans="1:7" x14ac:dyDescent="0.2">
      <c r="A71" s="39" t="s">
        <v>152</v>
      </c>
      <c r="B71" s="3">
        <f t="shared" si="20"/>
        <v>1000</v>
      </c>
      <c r="C71" s="32">
        <v>27.361248016357422</v>
      </c>
      <c r="D71" s="32">
        <v>27.580011367797852</v>
      </c>
      <c r="E71" s="32">
        <v>27.567806243896484</v>
      </c>
      <c r="F71" s="33">
        <f t="shared" si="13"/>
        <v>27.503021876017254</v>
      </c>
      <c r="G71">
        <f t="shared" si="14"/>
        <v>0.12293132930419311</v>
      </c>
    </row>
    <row r="72" spans="1:7" x14ac:dyDescent="0.2">
      <c r="A72" s="39" t="s">
        <v>152</v>
      </c>
      <c r="B72" s="3">
        <f t="shared" si="20"/>
        <v>100</v>
      </c>
      <c r="C72" s="32" t="s">
        <v>145</v>
      </c>
      <c r="D72" s="32">
        <v>31.076847076416016</v>
      </c>
      <c r="E72" s="32" t="s">
        <v>145</v>
      </c>
      <c r="F72" s="33">
        <f t="shared" si="13"/>
        <v>31.076847076416016</v>
      </c>
      <c r="G72" t="e">
        <f t="shared" si="14"/>
        <v>#DIV/0!</v>
      </c>
    </row>
    <row r="73" spans="1:7" x14ac:dyDescent="0.2">
      <c r="A73" s="39" t="s">
        <v>152</v>
      </c>
      <c r="B73" s="3">
        <f t="shared" si="20"/>
        <v>10</v>
      </c>
      <c r="C73" s="32">
        <v>34.209163665771484</v>
      </c>
      <c r="D73" s="32">
        <v>33.958114624023438</v>
      </c>
      <c r="E73" s="32">
        <v>33.846755981445312</v>
      </c>
      <c r="F73" s="33">
        <f t="shared" si="13"/>
        <v>34.004678090413414</v>
      </c>
      <c r="G73">
        <f t="shared" si="14"/>
        <v>0.18563660661720854</v>
      </c>
    </row>
    <row r="74" spans="1:7" x14ac:dyDescent="0.2">
      <c r="A74" s="39" t="s">
        <v>152</v>
      </c>
      <c r="B74" t="s">
        <v>139</v>
      </c>
      <c r="C74" s="32">
        <v>36.628803253173828</v>
      </c>
      <c r="D74" s="32">
        <v>35.880348205566406</v>
      </c>
      <c r="E74" s="32">
        <v>36.881271362304688</v>
      </c>
      <c r="F74" s="33">
        <f t="shared" si="13"/>
        <v>36.463474273681641</v>
      </c>
      <c r="G74">
        <f t="shared" si="14"/>
        <v>0.52054014736490561</v>
      </c>
    </row>
    <row r="75" spans="1:7" x14ac:dyDescent="0.2">
      <c r="A75" s="40" t="s">
        <v>153</v>
      </c>
      <c r="B75" s="3">
        <v>10000000</v>
      </c>
      <c r="C75" s="32">
        <v>12.599714279174805</v>
      </c>
      <c r="D75" s="32">
        <v>12.465089797973633</v>
      </c>
      <c r="E75" s="32">
        <v>12.347024917602539</v>
      </c>
      <c r="F75" s="33">
        <f t="shared" si="13"/>
        <v>12.470609664916992</v>
      </c>
      <c r="G75">
        <f t="shared" si="14"/>
        <v>0.12643508239904813</v>
      </c>
    </row>
    <row r="76" spans="1:7" x14ac:dyDescent="0.2">
      <c r="A76" s="40" t="s">
        <v>153</v>
      </c>
      <c r="B76" s="3">
        <f>B75/10</f>
        <v>1000000</v>
      </c>
      <c r="C76" s="32">
        <v>15.968972206115723</v>
      </c>
      <c r="D76" s="32">
        <v>16.120292663574219</v>
      </c>
      <c r="E76" s="32">
        <v>15.97702693939209</v>
      </c>
      <c r="F76" s="33">
        <f t="shared" si="13"/>
        <v>16.022097269694012</v>
      </c>
      <c r="G76">
        <f t="shared" si="14"/>
        <v>8.5135017569184165E-2</v>
      </c>
    </row>
    <row r="77" spans="1:7" x14ac:dyDescent="0.2">
      <c r="A77" s="40" t="s">
        <v>153</v>
      </c>
      <c r="B77" s="3">
        <f t="shared" ref="B77:B81" si="21">B76/10</f>
        <v>100000</v>
      </c>
      <c r="C77" s="32">
        <v>19.253206253051758</v>
      </c>
      <c r="D77" s="32">
        <v>19.644947052001953</v>
      </c>
      <c r="E77" s="32">
        <v>19.583793640136719</v>
      </c>
      <c r="F77" s="33">
        <f t="shared" si="13"/>
        <v>19.493982315063477</v>
      </c>
      <c r="G77">
        <f t="shared" si="14"/>
        <v>0.21074811736784987</v>
      </c>
    </row>
    <row r="78" spans="1:7" x14ac:dyDescent="0.2">
      <c r="A78" s="40" t="s">
        <v>153</v>
      </c>
      <c r="B78" s="3">
        <f t="shared" si="21"/>
        <v>10000</v>
      </c>
      <c r="C78" s="32">
        <v>22.676176071166992</v>
      </c>
      <c r="D78" s="32">
        <v>22.988010406494141</v>
      </c>
      <c r="E78" s="32">
        <v>22.986476898193359</v>
      </c>
      <c r="F78" s="33">
        <f t="shared" si="13"/>
        <v>22.883554458618164</v>
      </c>
      <c r="G78">
        <f t="shared" si="14"/>
        <v>0.17959658849297058</v>
      </c>
    </row>
    <row r="79" spans="1:7" x14ac:dyDescent="0.2">
      <c r="A79" s="40" t="s">
        <v>153</v>
      </c>
      <c r="B79" s="3">
        <f t="shared" si="21"/>
        <v>1000</v>
      </c>
      <c r="C79" s="32">
        <v>26.325954437255859</v>
      </c>
      <c r="D79" s="32">
        <v>26.387109756469727</v>
      </c>
      <c r="E79" s="32">
        <v>26.342679977416992</v>
      </c>
      <c r="F79" s="33">
        <f t="shared" si="13"/>
        <v>26.351914723714192</v>
      </c>
      <c r="G79">
        <f t="shared" si="14"/>
        <v>3.1606228364323107E-2</v>
      </c>
    </row>
    <row r="80" spans="1:7" x14ac:dyDescent="0.2">
      <c r="A80" s="40" t="s">
        <v>153</v>
      </c>
      <c r="B80" s="3">
        <f t="shared" si="21"/>
        <v>100</v>
      </c>
      <c r="C80" s="32">
        <v>29.477102279663086</v>
      </c>
      <c r="D80" s="32">
        <v>29.312467575073242</v>
      </c>
      <c r="E80" s="32">
        <v>29.294450759887695</v>
      </c>
      <c r="F80" s="33">
        <f t="shared" si="13"/>
        <v>29.361340204874676</v>
      </c>
      <c r="G80">
        <f t="shared" si="14"/>
        <v>0.10065681733914431</v>
      </c>
    </row>
    <row r="81" spans="1:7" x14ac:dyDescent="0.2">
      <c r="A81" s="40" t="s">
        <v>153</v>
      </c>
      <c r="B81" s="3">
        <f t="shared" si="21"/>
        <v>10</v>
      </c>
      <c r="C81" s="32">
        <v>30.263574600219727</v>
      </c>
      <c r="D81" s="32">
        <v>30.776479721069336</v>
      </c>
      <c r="E81" s="32">
        <v>30.777301788330078</v>
      </c>
      <c r="F81" s="33">
        <f t="shared" si="13"/>
        <v>30.605785369873047</v>
      </c>
      <c r="G81">
        <f t="shared" si="14"/>
        <v>0.29636350500472169</v>
      </c>
    </row>
    <row r="82" spans="1:7" x14ac:dyDescent="0.2">
      <c r="A82" s="40" t="s">
        <v>153</v>
      </c>
      <c r="B82" t="s">
        <v>139</v>
      </c>
      <c r="C82" s="32">
        <v>30.928560256958008</v>
      </c>
      <c r="D82" s="32">
        <v>30.859567642211914</v>
      </c>
      <c r="E82" s="32">
        <v>31.557744979858398</v>
      </c>
      <c r="F82" s="33">
        <f t="shared" si="13"/>
        <v>31.115290959676106</v>
      </c>
      <c r="G82">
        <f t="shared" si="14"/>
        <v>0.38472609114015072</v>
      </c>
    </row>
    <row r="83" spans="1:7" x14ac:dyDescent="0.2">
      <c r="A83" s="41" t="s">
        <v>154</v>
      </c>
      <c r="B83" s="3">
        <v>10000000</v>
      </c>
      <c r="C83" s="32">
        <v>12.559430122375488</v>
      </c>
      <c r="D83" s="32">
        <v>12.535030364990234</v>
      </c>
      <c r="E83" s="32">
        <v>12.521718978881836</v>
      </c>
      <c r="F83" s="33">
        <f t="shared" si="13"/>
        <v>12.538726488749186</v>
      </c>
      <c r="G83">
        <f t="shared" si="14"/>
        <v>1.9125338795190676E-2</v>
      </c>
    </row>
    <row r="84" spans="1:7" x14ac:dyDescent="0.2">
      <c r="A84" s="41" t="s">
        <v>154</v>
      </c>
      <c r="B84" s="3">
        <f>B83/10</f>
        <v>1000000</v>
      </c>
      <c r="C84" s="32">
        <v>16.021444320678711</v>
      </c>
      <c r="D84" s="32">
        <v>15.979307174682617</v>
      </c>
      <c r="E84" t="s">
        <v>145</v>
      </c>
      <c r="F84" s="33">
        <f t="shared" si="13"/>
        <v>16.000375747680664</v>
      </c>
      <c r="G84">
        <f t="shared" si="14"/>
        <v>2.9795461673685471E-2</v>
      </c>
    </row>
    <row r="85" spans="1:7" x14ac:dyDescent="0.2">
      <c r="A85" s="41" t="s">
        <v>154</v>
      </c>
      <c r="B85" s="3">
        <f t="shared" ref="B85:B89" si="22">B84/10</f>
        <v>100000</v>
      </c>
      <c r="C85" s="32">
        <v>19.401456832885742</v>
      </c>
      <c r="D85" s="32">
        <v>19.372323989868164</v>
      </c>
      <c r="E85" t="s">
        <v>145</v>
      </c>
      <c r="F85" s="33">
        <f t="shared" si="13"/>
        <v>19.386890411376953</v>
      </c>
      <c r="G85">
        <f t="shared" si="14"/>
        <v>2.0600030852972653E-2</v>
      </c>
    </row>
    <row r="86" spans="1:7" x14ac:dyDescent="0.2">
      <c r="A86" s="41" t="s">
        <v>154</v>
      </c>
      <c r="B86" s="3">
        <f t="shared" si="22"/>
        <v>10000</v>
      </c>
      <c r="C86" s="32">
        <v>22.814496994018555</v>
      </c>
      <c r="D86" s="32">
        <v>22.876174926757812</v>
      </c>
      <c r="E86" s="32">
        <v>22.757478713989258</v>
      </c>
      <c r="F86" s="33">
        <f t="shared" si="13"/>
        <v>22.816050211588543</v>
      </c>
      <c r="G86">
        <f t="shared" si="14"/>
        <v>5.9363348077869464E-2</v>
      </c>
    </row>
    <row r="87" spans="1:7" x14ac:dyDescent="0.2">
      <c r="A87" s="41" t="s">
        <v>154</v>
      </c>
      <c r="B87" s="3">
        <f t="shared" si="22"/>
        <v>1000</v>
      </c>
      <c r="C87" s="32">
        <v>26.096269607543945</v>
      </c>
      <c r="D87" s="32">
        <v>26.260801315307617</v>
      </c>
      <c r="E87" s="32">
        <v>26.365459442138672</v>
      </c>
      <c r="F87" s="33">
        <f t="shared" si="13"/>
        <v>26.240843454996746</v>
      </c>
      <c r="G87">
        <f t="shared" si="14"/>
        <v>0.13570014334342201</v>
      </c>
    </row>
    <row r="88" spans="1:7" x14ac:dyDescent="0.2">
      <c r="A88" s="41" t="s">
        <v>154</v>
      </c>
      <c r="B88" s="3">
        <f t="shared" si="22"/>
        <v>100</v>
      </c>
      <c r="C88" s="32">
        <v>29.285600662231445</v>
      </c>
      <c r="D88" s="32">
        <v>28.852352142333984</v>
      </c>
      <c r="E88" s="32">
        <v>29.113861083984375</v>
      </c>
      <c r="F88" s="33">
        <f t="shared" si="13"/>
        <v>29.083937962849934</v>
      </c>
      <c r="G88">
        <f t="shared" si="14"/>
        <v>0.21816877613938007</v>
      </c>
    </row>
    <row r="89" spans="1:7" x14ac:dyDescent="0.2">
      <c r="A89" s="41" t="s">
        <v>154</v>
      </c>
      <c r="B89" s="3">
        <f t="shared" si="22"/>
        <v>10</v>
      </c>
      <c r="C89" s="32">
        <v>30.370222091674805</v>
      </c>
      <c r="D89" s="32">
        <v>30.245937347412109</v>
      </c>
      <c r="E89" t="s">
        <v>145</v>
      </c>
      <c r="F89" s="33">
        <f t="shared" si="13"/>
        <v>30.308079719543457</v>
      </c>
      <c r="G89">
        <f t="shared" si="14"/>
        <v>8.7882585466187713E-2</v>
      </c>
    </row>
    <row r="90" spans="1:7" x14ac:dyDescent="0.2">
      <c r="A90" s="41" t="s">
        <v>154</v>
      </c>
      <c r="B90" t="s">
        <v>139</v>
      </c>
      <c r="C90" s="32">
        <v>30.393215179443398</v>
      </c>
      <c r="D90" s="32">
        <v>30.530839920043945</v>
      </c>
      <c r="E90" s="32">
        <v>31.022201538085938</v>
      </c>
      <c r="F90" s="33">
        <f t="shared" si="13"/>
        <v>30.648752212524428</v>
      </c>
      <c r="G90">
        <f t="shared" si="14"/>
        <v>0.33065607718307888</v>
      </c>
    </row>
    <row r="91" spans="1:7" x14ac:dyDescent="0.2">
      <c r="A91" s="42" t="s">
        <v>40</v>
      </c>
      <c r="B91" s="3">
        <v>10000000</v>
      </c>
      <c r="C91" s="32">
        <v>13.003768920898438</v>
      </c>
      <c r="D91" s="32">
        <v>13.091415405273438</v>
      </c>
      <c r="E91" s="32">
        <v>13.112900733947754</v>
      </c>
      <c r="F91" s="33">
        <f t="shared" si="13"/>
        <v>13.069361686706543</v>
      </c>
      <c r="G91">
        <f t="shared" si="14"/>
        <v>5.7811876217854913E-2</v>
      </c>
    </row>
    <row r="92" spans="1:7" x14ac:dyDescent="0.2">
      <c r="A92" s="42" t="s">
        <v>40</v>
      </c>
      <c r="B92" s="3">
        <f>B91/10</f>
        <v>1000000</v>
      </c>
      <c r="C92" s="32">
        <v>16.567108154296875</v>
      </c>
      <c r="D92" s="32">
        <v>16.587568283081055</v>
      </c>
      <c r="E92" s="32">
        <v>16.615283966064453</v>
      </c>
      <c r="F92" s="33">
        <f t="shared" ref="F92:F106" si="23">AVERAGE(C92:E92)</f>
        <v>16.589986801147461</v>
      </c>
      <c r="G92">
        <f t="shared" ref="G92:G106" si="24">STDEV(C92:E92)</f>
        <v>2.4178795091865719E-2</v>
      </c>
    </row>
    <row r="93" spans="1:7" x14ac:dyDescent="0.2">
      <c r="A93" s="42" t="s">
        <v>40</v>
      </c>
      <c r="B93" s="3">
        <f t="shared" ref="B93:B97" si="25">B92/10</f>
        <v>100000</v>
      </c>
      <c r="C93" s="32">
        <v>20.014585494995117</v>
      </c>
      <c r="D93" s="32">
        <v>20.122091293334961</v>
      </c>
      <c r="E93" s="32">
        <v>20.135223388671875</v>
      </c>
      <c r="F93" s="33">
        <f t="shared" si="23"/>
        <v>20.090633392333984</v>
      </c>
      <c r="G93">
        <f t="shared" si="24"/>
        <v>6.6185912392529675E-2</v>
      </c>
    </row>
    <row r="94" spans="1:7" x14ac:dyDescent="0.2">
      <c r="A94" s="42" t="s">
        <v>40</v>
      </c>
      <c r="B94" s="3">
        <f t="shared" si="25"/>
        <v>10000</v>
      </c>
      <c r="C94" s="32">
        <v>23.593746185302734</v>
      </c>
      <c r="D94" s="32">
        <v>23.513389587402344</v>
      </c>
      <c r="E94" s="32">
        <v>23.684150695800781</v>
      </c>
      <c r="F94" s="33">
        <f t="shared" si="23"/>
        <v>23.597095489501953</v>
      </c>
      <c r="G94">
        <f t="shared" si="24"/>
        <v>8.542980986944726E-2</v>
      </c>
    </row>
    <row r="95" spans="1:7" x14ac:dyDescent="0.2">
      <c r="A95" s="42" t="s">
        <v>40</v>
      </c>
      <c r="B95" s="3">
        <f t="shared" si="25"/>
        <v>1000</v>
      </c>
      <c r="C95" s="32">
        <v>26.495338439941406</v>
      </c>
      <c r="D95" s="32">
        <v>26.567142486572266</v>
      </c>
      <c r="E95" t="s">
        <v>145</v>
      </c>
      <c r="F95" s="33">
        <f t="shared" si="23"/>
        <v>26.531240463256836</v>
      </c>
      <c r="G95">
        <f t="shared" si="24"/>
        <v>5.0773128289315732E-2</v>
      </c>
    </row>
    <row r="96" spans="1:7" x14ac:dyDescent="0.2">
      <c r="A96" s="42" t="s">
        <v>40</v>
      </c>
      <c r="B96" s="3">
        <f t="shared" si="25"/>
        <v>100</v>
      </c>
      <c r="C96" s="32">
        <v>27.697334289550781</v>
      </c>
      <c r="D96" s="32">
        <v>27.795400619506836</v>
      </c>
      <c r="E96" s="32">
        <v>27.918954849243164</v>
      </c>
      <c r="F96" s="33">
        <f t="shared" si="23"/>
        <v>27.803896586100262</v>
      </c>
      <c r="G96">
        <f t="shared" si="24"/>
        <v>0.11105428495046327</v>
      </c>
    </row>
    <row r="97" spans="1:7" x14ac:dyDescent="0.2">
      <c r="A97" s="42" t="s">
        <v>40</v>
      </c>
      <c r="B97" s="3">
        <f t="shared" si="25"/>
        <v>10</v>
      </c>
      <c r="C97" s="32">
        <v>27.650224685668945</v>
      </c>
      <c r="D97" s="32">
        <v>27.911445617675781</v>
      </c>
      <c r="E97" s="32">
        <v>27.790613174438477</v>
      </c>
      <c r="F97" s="33">
        <f t="shared" si="23"/>
        <v>27.784094492594402</v>
      </c>
      <c r="G97">
        <f t="shared" si="24"/>
        <v>0.13073241273444092</v>
      </c>
    </row>
    <row r="98" spans="1:7" x14ac:dyDescent="0.2">
      <c r="A98" s="42" t="s">
        <v>40</v>
      </c>
      <c r="B98" t="s">
        <v>139</v>
      </c>
      <c r="C98" s="32">
        <v>27.429248809814453</v>
      </c>
      <c r="D98" s="32">
        <v>26.749591827392578</v>
      </c>
      <c r="E98" s="32">
        <v>27.036575317382812</v>
      </c>
      <c r="F98" s="33">
        <f t="shared" si="23"/>
        <v>27.071805318196613</v>
      </c>
      <c r="G98">
        <f t="shared" si="24"/>
        <v>0.34119535189786454</v>
      </c>
    </row>
    <row r="99" spans="1:7" x14ac:dyDescent="0.2">
      <c r="A99" s="43" t="s">
        <v>140</v>
      </c>
      <c r="B99" s="3">
        <v>10000000</v>
      </c>
      <c r="C99" s="32">
        <v>12.36777400970459</v>
      </c>
      <c r="D99" s="32">
        <v>12.388630867004395</v>
      </c>
      <c r="E99" s="32">
        <v>12.379631996154785</v>
      </c>
      <c r="F99" s="33">
        <f t="shared" si="23"/>
        <v>12.378678957621256</v>
      </c>
      <c r="G99">
        <f t="shared" si="24"/>
        <v>1.0461038951313433E-2</v>
      </c>
    </row>
    <row r="100" spans="1:7" x14ac:dyDescent="0.2">
      <c r="A100" s="43" t="s">
        <v>140</v>
      </c>
      <c r="B100" s="3">
        <f>B99/10</f>
        <v>1000000</v>
      </c>
      <c r="C100" s="32">
        <v>15.966151237487793</v>
      </c>
      <c r="D100" s="32">
        <v>16.038755416870117</v>
      </c>
      <c r="E100" s="32">
        <v>16.009571075439453</v>
      </c>
      <c r="F100" s="33">
        <f t="shared" si="23"/>
        <v>16.004825909932453</v>
      </c>
      <c r="G100">
        <f t="shared" si="24"/>
        <v>3.6533945348289257E-2</v>
      </c>
    </row>
    <row r="101" spans="1:7" x14ac:dyDescent="0.2">
      <c r="A101" s="43" t="s">
        <v>140</v>
      </c>
      <c r="B101" s="3">
        <f t="shared" ref="B101:B105" si="26">B100/10</f>
        <v>100000</v>
      </c>
      <c r="C101" s="32">
        <v>19.552078247070312</v>
      </c>
      <c r="D101" s="32">
        <v>19.507577896118164</v>
      </c>
      <c r="E101" s="32">
        <v>19.646530151367188</v>
      </c>
      <c r="F101" s="33">
        <f t="shared" si="23"/>
        <v>19.568728764851887</v>
      </c>
      <c r="G101">
        <f t="shared" si="24"/>
        <v>7.0956762302781001E-2</v>
      </c>
    </row>
    <row r="102" spans="1:7" x14ac:dyDescent="0.2">
      <c r="A102" s="43" t="s">
        <v>140</v>
      </c>
      <c r="B102" s="3">
        <f t="shared" si="26"/>
        <v>10000</v>
      </c>
      <c r="C102" s="32">
        <v>22.977331161499023</v>
      </c>
      <c r="D102" s="32">
        <v>23.021091461181641</v>
      </c>
      <c r="E102" s="32">
        <v>23.094747543334961</v>
      </c>
      <c r="F102" s="33">
        <f t="shared" si="23"/>
        <v>23.031056722005207</v>
      </c>
      <c r="G102">
        <f t="shared" si="24"/>
        <v>5.9339122830742691E-2</v>
      </c>
    </row>
    <row r="103" spans="1:7" x14ac:dyDescent="0.2">
      <c r="A103" s="43" t="s">
        <v>140</v>
      </c>
      <c r="B103" s="3">
        <f t="shared" si="26"/>
        <v>1000</v>
      </c>
      <c r="C103" s="32">
        <v>25.721902847290039</v>
      </c>
      <c r="D103" s="32">
        <v>25.695196151733398</v>
      </c>
      <c r="E103" t="s">
        <v>145</v>
      </c>
      <c r="F103" s="33">
        <f t="shared" si="23"/>
        <v>25.708549499511719</v>
      </c>
      <c r="G103">
        <f t="shared" si="24"/>
        <v>1.8884485531185224E-2</v>
      </c>
    </row>
    <row r="104" spans="1:7" x14ac:dyDescent="0.2">
      <c r="A104" s="43" t="s">
        <v>140</v>
      </c>
      <c r="B104" s="3">
        <f t="shared" si="26"/>
        <v>100</v>
      </c>
      <c r="C104" s="32">
        <v>26.609746932983398</v>
      </c>
      <c r="D104" s="32">
        <v>26.509138107299805</v>
      </c>
      <c r="E104" s="32">
        <v>26.599111557006836</v>
      </c>
      <c r="F104" s="33">
        <f t="shared" si="23"/>
        <v>26.572665532430012</v>
      </c>
      <c r="G104">
        <f t="shared" si="24"/>
        <v>5.5272761042817281E-2</v>
      </c>
    </row>
    <row r="105" spans="1:7" x14ac:dyDescent="0.2">
      <c r="A105" s="43" t="s">
        <v>140</v>
      </c>
      <c r="B105" s="3">
        <f t="shared" si="26"/>
        <v>10</v>
      </c>
      <c r="C105" s="32">
        <v>26.315164566040039</v>
      </c>
      <c r="D105" s="32">
        <v>26.429941177368164</v>
      </c>
      <c r="E105" s="32">
        <v>26.62391471862793</v>
      </c>
      <c r="F105" s="33">
        <f t="shared" si="23"/>
        <v>26.456340154012043</v>
      </c>
      <c r="G105">
        <f t="shared" si="24"/>
        <v>0.15605878269627935</v>
      </c>
    </row>
    <row r="106" spans="1:7" x14ac:dyDescent="0.2">
      <c r="A106" s="43" t="s">
        <v>140</v>
      </c>
      <c r="B106" t="s">
        <v>139</v>
      </c>
      <c r="C106" s="32">
        <v>26.595468521118164</v>
      </c>
      <c r="D106" s="32">
        <v>26.673778533935547</v>
      </c>
      <c r="E106" s="32">
        <v>26.328031539916992</v>
      </c>
      <c r="F106" s="33">
        <f t="shared" si="23"/>
        <v>26.532426198323567</v>
      </c>
      <c r="G106">
        <f t="shared" si="24"/>
        <v>0.1812898144290522</v>
      </c>
    </row>
  </sheetData>
  <phoneticPr fontId="11" type="noConversion"/>
  <conditionalFormatting sqref="C14:L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4:F14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106">
    <cfRule type="cellIs" dxfId="1" priority="2" operator="greaterThan">
      <formula>0.5</formula>
    </cfRule>
  </conditionalFormatting>
  <conditionalFormatting sqref="G14:J14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:L14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8"/>
  <sheetViews>
    <sheetView topLeftCell="A8" zoomScaleNormal="100" workbookViewId="0">
      <selection activeCell="E29" sqref="E29"/>
    </sheetView>
  </sheetViews>
  <sheetFormatPr baseColWidth="10" defaultColWidth="11.1640625" defaultRowHeight="16" x14ac:dyDescent="0.2"/>
  <cols>
    <col min="3" max="3" width="12.1640625" bestFit="1" customWidth="1"/>
    <col min="4" max="4" width="15.33203125" customWidth="1"/>
    <col min="5" max="15" width="11.33203125" bestFit="1" customWidth="1"/>
    <col min="16" max="16" width="11.6640625" bestFit="1" customWidth="1"/>
    <col min="17" max="18" width="11.33203125" bestFit="1" customWidth="1"/>
  </cols>
  <sheetData>
    <row r="1" spans="1:17" ht="21" x14ac:dyDescent="0.25">
      <c r="B1" t="s">
        <v>115</v>
      </c>
      <c r="C1" s="1" t="s">
        <v>8</v>
      </c>
      <c r="D1" s="1" t="s">
        <v>12</v>
      </c>
      <c r="E1" s="1" t="s">
        <v>15</v>
      </c>
      <c r="F1" s="1" t="s">
        <v>18</v>
      </c>
      <c r="G1" s="1" t="s">
        <v>21</v>
      </c>
      <c r="H1" s="1" t="s">
        <v>24</v>
      </c>
      <c r="I1" s="1" t="s">
        <v>27</v>
      </c>
      <c r="J1" s="1" t="s">
        <v>30</v>
      </c>
      <c r="K1" s="1" t="s">
        <v>33</v>
      </c>
      <c r="L1" s="1" t="s">
        <v>36</v>
      </c>
      <c r="M1" s="1" t="s">
        <v>93</v>
      </c>
      <c r="N1" s="1" t="s">
        <v>119</v>
      </c>
      <c r="O1" s="1" t="s">
        <v>120</v>
      </c>
      <c r="P1" s="1" t="s">
        <v>114</v>
      </c>
      <c r="Q1" s="1" t="s">
        <v>92</v>
      </c>
    </row>
    <row r="2" spans="1:17" x14ac:dyDescent="0.2">
      <c r="B2" s="2">
        <v>1</v>
      </c>
      <c r="C2">
        <v>20.505447700000001</v>
      </c>
      <c r="F2" s="3"/>
      <c r="J2" s="3"/>
      <c r="K2" s="3"/>
      <c r="P2">
        <v>14.5771725</v>
      </c>
    </row>
    <row r="3" spans="1:17" x14ac:dyDescent="0.2">
      <c r="B3" s="2">
        <f>B2/10</f>
        <v>0.1</v>
      </c>
      <c r="C3">
        <v>23.303460999999999</v>
      </c>
      <c r="F3" s="3"/>
      <c r="J3" s="3"/>
      <c r="K3" s="3"/>
      <c r="P3">
        <v>17.478753999999999</v>
      </c>
    </row>
    <row r="4" spans="1:17" x14ac:dyDescent="0.2">
      <c r="B4" s="2">
        <f t="shared" ref="B4:B8" si="0">B3/10</f>
        <v>0.01</v>
      </c>
      <c r="C4">
        <v>26.729679999999998</v>
      </c>
      <c r="F4" s="3"/>
      <c r="J4" s="3"/>
      <c r="K4" s="3"/>
      <c r="P4">
        <v>20.813804999999999</v>
      </c>
    </row>
    <row r="5" spans="1:17" x14ac:dyDescent="0.2">
      <c r="B5" s="2">
        <f t="shared" si="0"/>
        <v>1E-3</v>
      </c>
      <c r="C5">
        <v>30.158366999999998</v>
      </c>
      <c r="F5" s="3"/>
      <c r="J5" s="3"/>
      <c r="K5" s="3"/>
      <c r="P5">
        <v>24.178090000000001</v>
      </c>
    </row>
    <row r="6" spans="1:17" x14ac:dyDescent="0.2">
      <c r="B6" s="2">
        <f t="shared" si="0"/>
        <v>1E-4</v>
      </c>
      <c r="C6">
        <v>33.181145000000001</v>
      </c>
      <c r="F6" s="3"/>
      <c r="J6" s="3"/>
      <c r="K6" s="3"/>
      <c r="P6">
        <v>27.682324300000001</v>
      </c>
    </row>
    <row r="7" spans="1:17" x14ac:dyDescent="0.2">
      <c r="B7" s="2">
        <f t="shared" si="0"/>
        <v>1.0000000000000001E-5</v>
      </c>
      <c r="C7" t="s">
        <v>9</v>
      </c>
      <c r="D7" s="4"/>
      <c r="E7" s="4"/>
      <c r="F7" s="2"/>
      <c r="G7" s="4"/>
      <c r="H7" s="4"/>
      <c r="J7" s="2"/>
      <c r="K7" s="2"/>
      <c r="L7" s="4"/>
      <c r="M7" s="4"/>
      <c r="O7" s="4"/>
      <c r="P7" s="4">
        <v>30.964136700000001</v>
      </c>
      <c r="Q7" s="4"/>
    </row>
    <row r="8" spans="1:17" x14ac:dyDescent="0.2">
      <c r="B8" s="2">
        <f t="shared" si="0"/>
        <v>1.0000000000000002E-6</v>
      </c>
      <c r="C8" t="s">
        <v>9</v>
      </c>
      <c r="E8" s="5"/>
      <c r="F8" s="3"/>
      <c r="H8" s="5"/>
      <c r="I8" s="4"/>
      <c r="J8" s="3"/>
      <c r="K8" s="3"/>
      <c r="M8" s="5"/>
      <c r="N8" s="4"/>
      <c r="P8" t="s">
        <v>9</v>
      </c>
    </row>
    <row r="9" spans="1:17" x14ac:dyDescent="0.2">
      <c r="A9" s="6" t="s">
        <v>61</v>
      </c>
      <c r="C9" t="s">
        <v>117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t="s">
        <v>118</v>
      </c>
      <c r="Q9" s="22"/>
    </row>
    <row r="10" spans="1:17" x14ac:dyDescent="0.2">
      <c r="A10" s="2" t="s">
        <v>62</v>
      </c>
      <c r="C10" s="9" t="s">
        <v>9</v>
      </c>
      <c r="D10" s="8"/>
      <c r="E10" s="8"/>
      <c r="F10" s="8"/>
      <c r="G10" s="8"/>
      <c r="H10" s="8"/>
      <c r="I10" s="8"/>
      <c r="J10" s="8"/>
      <c r="K10" s="8"/>
      <c r="L10" s="9"/>
      <c r="M10" s="9"/>
      <c r="N10" s="9"/>
      <c r="O10" s="9"/>
      <c r="P10" s="9">
        <v>33.4372367</v>
      </c>
      <c r="Q10" s="9"/>
    </row>
    <row r="11" spans="1:17" x14ac:dyDescent="0.2">
      <c r="A11" s="2" t="s">
        <v>63</v>
      </c>
      <c r="C11" s="3">
        <f>INTERCEPT(C2:C8,LOG($B$2:$B$8))</f>
        <v>20.334360020000002</v>
      </c>
      <c r="D11" s="3" t="e">
        <f>INTERCEPT(D2:D8,LOG($B$2:$B$8))</f>
        <v>#DIV/0!</v>
      </c>
      <c r="E11" s="3" t="e">
        <f t="shared" ref="E11:Q11" si="1">INTERCEPT(E2:E8,LOG($B$2:$B$8))</f>
        <v>#DIV/0!</v>
      </c>
      <c r="F11" s="3" t="e">
        <f t="shared" si="1"/>
        <v>#DIV/0!</v>
      </c>
      <c r="G11" s="3" t="e">
        <f t="shared" si="1"/>
        <v>#DIV/0!</v>
      </c>
      <c r="H11" s="3" t="e">
        <f t="shared" si="1"/>
        <v>#DIV/0!</v>
      </c>
      <c r="I11" s="3" t="e">
        <f t="shared" si="1"/>
        <v>#DIV/0!</v>
      </c>
      <c r="J11" s="3" t="e">
        <f t="shared" si="1"/>
        <v>#DIV/0!</v>
      </c>
      <c r="K11" s="3" t="e">
        <f t="shared" si="1"/>
        <v>#DIV/0!</v>
      </c>
      <c r="L11" s="3" t="e">
        <f t="shared" si="1"/>
        <v>#DIV/0!</v>
      </c>
      <c r="M11" s="3" t="e">
        <f t="shared" si="1"/>
        <v>#DIV/0!</v>
      </c>
      <c r="N11" s="3" t="e">
        <f t="shared" si="1"/>
        <v>#DIV/0!</v>
      </c>
      <c r="O11" s="3" t="e">
        <f t="shared" si="1"/>
        <v>#DIV/0!</v>
      </c>
      <c r="P11" s="3">
        <f t="shared" si="1"/>
        <v>14.336441114285714</v>
      </c>
      <c r="Q11" s="3" t="e">
        <f t="shared" si="1"/>
        <v>#DIV/0!</v>
      </c>
    </row>
    <row r="12" spans="1:17" x14ac:dyDescent="0.2">
      <c r="A12" s="2" t="s">
        <v>64</v>
      </c>
      <c r="C12" s="3">
        <f>SLOPE(C2:C8,LOG($B$2:$B$8))</f>
        <v>-3.22063006</v>
      </c>
      <c r="D12" s="3" t="e">
        <f>SLOPE(D2:D8,LOG($B$2:$B$8))</f>
        <v>#DIV/0!</v>
      </c>
      <c r="E12" s="3" t="e">
        <f t="shared" ref="E12:Q12" si="2">SLOPE(E2:E8,LOG($B$2:$B$8))</f>
        <v>#DIV/0!</v>
      </c>
      <c r="F12" s="3" t="e">
        <f t="shared" si="2"/>
        <v>#DIV/0!</v>
      </c>
      <c r="G12" s="3" t="e">
        <f t="shared" si="2"/>
        <v>#DIV/0!</v>
      </c>
      <c r="H12" s="3" t="e">
        <f t="shared" si="2"/>
        <v>#DIV/0!</v>
      </c>
      <c r="I12" s="3" t="e">
        <f t="shared" si="2"/>
        <v>#DIV/0!</v>
      </c>
      <c r="J12" s="3" t="e">
        <f t="shared" si="2"/>
        <v>#DIV/0!</v>
      </c>
      <c r="K12" s="3" t="e">
        <f t="shared" si="2"/>
        <v>#DIV/0!</v>
      </c>
      <c r="L12" s="3" t="e">
        <f t="shared" si="2"/>
        <v>#DIV/0!</v>
      </c>
      <c r="M12" s="3" t="e">
        <f t="shared" si="2"/>
        <v>#DIV/0!</v>
      </c>
      <c r="N12" s="3" t="e">
        <f t="shared" si="2"/>
        <v>#DIV/0!</v>
      </c>
      <c r="O12" s="3" t="e">
        <f t="shared" si="2"/>
        <v>#DIV/0!</v>
      </c>
      <c r="P12" s="3">
        <f t="shared" si="2"/>
        <v>-3.311709054285715</v>
      </c>
      <c r="Q12" s="3" t="e">
        <f t="shared" si="2"/>
        <v>#DIV/0!</v>
      </c>
    </row>
    <row r="13" spans="1:17" x14ac:dyDescent="0.2">
      <c r="A13" s="2" t="s">
        <v>65</v>
      </c>
      <c r="C13" s="19">
        <f>(10^(-1/C12)-1)*100</f>
        <v>104.40817029231972</v>
      </c>
      <c r="D13" s="19" t="e">
        <f t="shared" ref="D13:Q13" si="3">(10^(-1/D12)-1)*100</f>
        <v>#DIV/0!</v>
      </c>
      <c r="E13" s="19" t="e">
        <f t="shared" si="3"/>
        <v>#DIV/0!</v>
      </c>
      <c r="F13" s="19" t="e">
        <f t="shared" si="3"/>
        <v>#DIV/0!</v>
      </c>
      <c r="G13" s="19" t="e">
        <f t="shared" si="3"/>
        <v>#DIV/0!</v>
      </c>
      <c r="H13" s="19" t="e">
        <f t="shared" si="3"/>
        <v>#DIV/0!</v>
      </c>
      <c r="I13" s="19" t="e">
        <f t="shared" si="3"/>
        <v>#DIV/0!</v>
      </c>
      <c r="J13" s="19" t="e">
        <f t="shared" si="3"/>
        <v>#DIV/0!</v>
      </c>
      <c r="K13" s="19" t="e">
        <f t="shared" si="3"/>
        <v>#DIV/0!</v>
      </c>
      <c r="L13" s="19" t="e">
        <f t="shared" si="3"/>
        <v>#DIV/0!</v>
      </c>
      <c r="M13" s="19" t="e">
        <f t="shared" si="3"/>
        <v>#DIV/0!</v>
      </c>
      <c r="N13" s="19" t="e">
        <f t="shared" si="3"/>
        <v>#DIV/0!</v>
      </c>
      <c r="O13" s="19" t="e">
        <f t="shared" si="3"/>
        <v>#DIV/0!</v>
      </c>
      <c r="P13" s="19">
        <f t="shared" si="3"/>
        <v>100.4282308366717</v>
      </c>
      <c r="Q13" s="19" t="e">
        <f t="shared" si="3"/>
        <v>#DIV/0!</v>
      </c>
    </row>
    <row r="14" spans="1:17" x14ac:dyDescent="0.2">
      <c r="A14" s="2" t="s">
        <v>3</v>
      </c>
      <c r="C14" s="10">
        <f>10^(-1/C12)</f>
        <v>2.0440817029231972</v>
      </c>
      <c r="D14" s="10" t="e">
        <f>10^(-1/D12)</f>
        <v>#DIV/0!</v>
      </c>
      <c r="E14" s="10" t="e">
        <f t="shared" ref="E14:Q14" si="4">10^(-1/E12)</f>
        <v>#DIV/0!</v>
      </c>
      <c r="F14" s="10" t="e">
        <f t="shared" si="4"/>
        <v>#DIV/0!</v>
      </c>
      <c r="G14" s="10" t="e">
        <f t="shared" si="4"/>
        <v>#DIV/0!</v>
      </c>
      <c r="H14" s="10" t="e">
        <f t="shared" si="4"/>
        <v>#DIV/0!</v>
      </c>
      <c r="I14" s="10" t="e">
        <f t="shared" si="4"/>
        <v>#DIV/0!</v>
      </c>
      <c r="J14" s="10" t="e">
        <f t="shared" si="4"/>
        <v>#DIV/0!</v>
      </c>
      <c r="K14" s="10" t="e">
        <f t="shared" si="4"/>
        <v>#DIV/0!</v>
      </c>
      <c r="L14" s="10" t="e">
        <f t="shared" si="4"/>
        <v>#DIV/0!</v>
      </c>
      <c r="M14" s="10" t="e">
        <f t="shared" si="4"/>
        <v>#DIV/0!</v>
      </c>
      <c r="N14" s="10" t="e">
        <f t="shared" si="4"/>
        <v>#DIV/0!</v>
      </c>
      <c r="O14" s="10" t="e">
        <f t="shared" si="4"/>
        <v>#DIV/0!</v>
      </c>
      <c r="P14" s="10">
        <f t="shared" si="4"/>
        <v>2.0042823083667169</v>
      </c>
      <c r="Q14" s="10" t="e">
        <f t="shared" si="4"/>
        <v>#DIV/0!</v>
      </c>
    </row>
    <row r="15" spans="1:17" x14ac:dyDescent="0.2">
      <c r="A15" s="11" t="s">
        <v>66</v>
      </c>
      <c r="C15" s="10">
        <f>RSQ(LOG($B$2:$B$8),C2:C8)</f>
        <v>0.99882319677000775</v>
      </c>
      <c r="D15" s="10" t="e">
        <f>RSQ(LOG($B$2:$B$8),D2:D8)</f>
        <v>#DIV/0!</v>
      </c>
      <c r="E15" s="10" t="e">
        <f t="shared" ref="E15:Q15" si="5">RSQ(LOG($B$2:$B$8),E2:E8)</f>
        <v>#DIV/0!</v>
      </c>
      <c r="F15" s="10" t="e">
        <f t="shared" si="5"/>
        <v>#DIV/0!</v>
      </c>
      <c r="G15" s="10" t="e">
        <f t="shared" si="5"/>
        <v>#DIV/0!</v>
      </c>
      <c r="H15" s="10" t="e">
        <f t="shared" si="5"/>
        <v>#DIV/0!</v>
      </c>
      <c r="I15" s="10" t="e">
        <f t="shared" si="5"/>
        <v>#DIV/0!</v>
      </c>
      <c r="J15" s="10" t="e">
        <f t="shared" si="5"/>
        <v>#DIV/0!</v>
      </c>
      <c r="K15" s="10" t="e">
        <f t="shared" si="5"/>
        <v>#DIV/0!</v>
      </c>
      <c r="L15" s="10" t="e">
        <f t="shared" si="5"/>
        <v>#DIV/0!</v>
      </c>
      <c r="M15" s="10" t="e">
        <f t="shared" si="5"/>
        <v>#DIV/0!</v>
      </c>
      <c r="N15" s="10" t="e">
        <f t="shared" si="5"/>
        <v>#DIV/0!</v>
      </c>
      <c r="O15" s="10" t="e">
        <f t="shared" si="5"/>
        <v>#DIV/0!</v>
      </c>
      <c r="P15" s="10">
        <f t="shared" si="5"/>
        <v>0.99931631781942409</v>
      </c>
      <c r="Q15" s="10" t="e">
        <f t="shared" si="5"/>
        <v>#DIV/0!</v>
      </c>
    </row>
    <row r="16" spans="1:17" x14ac:dyDescent="0.2">
      <c r="A16" s="2" t="s">
        <v>67</v>
      </c>
      <c r="C16" s="5" t="s">
        <v>116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 t="s">
        <v>116</v>
      </c>
      <c r="Q16" s="5"/>
    </row>
    <row r="17" spans="1:18" x14ac:dyDescent="0.2">
      <c r="A17" s="2" t="s">
        <v>76</v>
      </c>
      <c r="C17" s="2" t="s">
        <v>10</v>
      </c>
      <c r="D17" s="2" t="s">
        <v>77</v>
      </c>
      <c r="E17" s="2" t="s">
        <v>16</v>
      </c>
      <c r="F17" s="2" t="s">
        <v>19</v>
      </c>
      <c r="G17" s="2" t="s">
        <v>22</v>
      </c>
      <c r="H17" s="2" t="s">
        <v>25</v>
      </c>
      <c r="I17" s="2" t="s">
        <v>28</v>
      </c>
      <c r="J17" s="2" t="s">
        <v>31</v>
      </c>
      <c r="K17" s="2" t="s">
        <v>34</v>
      </c>
      <c r="L17" s="2" t="s">
        <v>37</v>
      </c>
      <c r="M17" s="2" t="s">
        <v>38</v>
      </c>
      <c r="N17" s="2" t="s">
        <v>78</v>
      </c>
      <c r="O17" s="2" t="s">
        <v>43</v>
      </c>
      <c r="P17" s="2" t="s">
        <v>41</v>
      </c>
      <c r="Q17" s="2" t="s">
        <v>94</v>
      </c>
    </row>
    <row r="18" spans="1:18" x14ac:dyDescent="0.2">
      <c r="A18" s="2" t="s">
        <v>79</v>
      </c>
      <c r="C18" s="5">
        <v>180205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v>180205</v>
      </c>
      <c r="Q18" s="18"/>
    </row>
    <row r="21" spans="1:18" ht="21" x14ac:dyDescent="0.25">
      <c r="B21" t="s">
        <v>124</v>
      </c>
      <c r="C21" s="1" t="s">
        <v>8</v>
      </c>
      <c r="D21" s="1" t="s">
        <v>12</v>
      </c>
      <c r="E21" s="1" t="s">
        <v>15</v>
      </c>
      <c r="F21" s="1" t="s">
        <v>18</v>
      </c>
      <c r="G21" s="1" t="s">
        <v>21</v>
      </c>
      <c r="H21" s="1" t="s">
        <v>24</v>
      </c>
      <c r="I21" s="1" t="s">
        <v>27</v>
      </c>
      <c r="J21" s="1" t="s">
        <v>30</v>
      </c>
      <c r="K21" s="1" t="s">
        <v>33</v>
      </c>
      <c r="L21" s="1" t="s">
        <v>36</v>
      </c>
      <c r="M21" s="1" t="s">
        <v>93</v>
      </c>
      <c r="N21" s="1" t="s">
        <v>119</v>
      </c>
      <c r="O21" s="1" t="s">
        <v>120</v>
      </c>
      <c r="P21" s="1" t="s">
        <v>114</v>
      </c>
      <c r="Q21" s="1" t="s">
        <v>130</v>
      </c>
      <c r="R21" s="1" t="s">
        <v>126</v>
      </c>
    </row>
    <row r="22" spans="1:18" x14ac:dyDescent="0.2">
      <c r="B22" s="2">
        <v>10000000</v>
      </c>
      <c r="C22" s="23">
        <v>12.235953330993652</v>
      </c>
      <c r="D22" s="23">
        <v>12.651158332824707</v>
      </c>
      <c r="E22" s="23">
        <v>11.581624031066895</v>
      </c>
      <c r="F22" s="23">
        <v>12.674411773681641</v>
      </c>
      <c r="G22" s="23">
        <v>12.283610343933105</v>
      </c>
      <c r="I22" s="23">
        <v>12.446366310119629</v>
      </c>
      <c r="J22" s="23">
        <v>12.33472728729248</v>
      </c>
      <c r="K22" s="23">
        <v>12.830188751220703</v>
      </c>
      <c r="L22" s="23">
        <v>12.715954780578613</v>
      </c>
      <c r="P22" s="23">
        <v>13.016386032104492</v>
      </c>
      <c r="Q22" s="23">
        <v>11.911173820495605</v>
      </c>
    </row>
    <row r="23" spans="1:18" x14ac:dyDescent="0.2">
      <c r="B23" s="2">
        <f>B22/10</f>
        <v>1000000</v>
      </c>
      <c r="C23" s="23">
        <v>15.511733055114746</v>
      </c>
      <c r="D23" s="23">
        <v>16.756135940551758</v>
      </c>
      <c r="E23" s="23">
        <v>15.065491676330566</v>
      </c>
      <c r="F23" s="23">
        <v>16.052160263061523</v>
      </c>
      <c r="G23" s="23">
        <v>15.582108497619629</v>
      </c>
      <c r="I23" s="23">
        <v>16.372888565063477</v>
      </c>
      <c r="J23" s="23">
        <v>15.776265144348145</v>
      </c>
      <c r="K23" s="23">
        <v>16.268775939941406</v>
      </c>
      <c r="L23" s="23">
        <v>16.670469284057617</v>
      </c>
      <c r="P23" s="23">
        <v>16.261907577514648</v>
      </c>
      <c r="Q23" s="23">
        <v>15.076120376586914</v>
      </c>
    </row>
    <row r="24" spans="1:18" x14ac:dyDescent="0.2">
      <c r="B24" s="2">
        <f t="shared" ref="B24:B28" si="6">B23/10</f>
        <v>100000</v>
      </c>
      <c r="C24" s="23">
        <v>18.613567352294922</v>
      </c>
      <c r="D24" s="23">
        <v>20.359930038452148</v>
      </c>
      <c r="E24" s="23">
        <v>18.674610137939453</v>
      </c>
      <c r="F24" s="23">
        <v>19.673316955566406</v>
      </c>
      <c r="G24" s="23">
        <v>19.177017211914062</v>
      </c>
      <c r="I24" s="23">
        <v>20.127580642700195</v>
      </c>
      <c r="J24" s="23">
        <v>19.499544143676758</v>
      </c>
      <c r="K24" s="23">
        <v>19.934402465820312</v>
      </c>
      <c r="L24" s="23">
        <v>20.225133895874023</v>
      </c>
      <c r="P24" s="23">
        <v>19.978721618652344</v>
      </c>
      <c r="Q24" s="23">
        <v>19.083246231079102</v>
      </c>
    </row>
    <row r="25" spans="1:18" x14ac:dyDescent="0.2">
      <c r="B25" s="2">
        <f t="shared" si="6"/>
        <v>10000</v>
      </c>
      <c r="C25" s="23">
        <v>21.904642105102539</v>
      </c>
      <c r="D25" s="23">
        <v>24.434858322143555</v>
      </c>
      <c r="F25" s="23">
        <v>23.28132438659668</v>
      </c>
      <c r="G25" s="23">
        <v>22.516180038452148</v>
      </c>
      <c r="I25" s="23">
        <v>23.80729866027832</v>
      </c>
      <c r="J25" s="23">
        <v>23.817102432250977</v>
      </c>
      <c r="K25" s="23">
        <v>23.463233947753906</v>
      </c>
      <c r="L25" s="23">
        <v>23.285186767578125</v>
      </c>
      <c r="P25" s="23">
        <v>23.36085319519043</v>
      </c>
      <c r="Q25" s="23">
        <v>22.384849548339844</v>
      </c>
    </row>
    <row r="26" spans="1:18" x14ac:dyDescent="0.2">
      <c r="B26" s="2">
        <f t="shared" si="6"/>
        <v>1000</v>
      </c>
      <c r="C26" s="23">
        <v>25.49169921875</v>
      </c>
      <c r="D26" s="23">
        <v>27.83668327331543</v>
      </c>
      <c r="F26" s="23">
        <v>26.900856018066406</v>
      </c>
      <c r="G26" s="23">
        <v>26.068862915039062</v>
      </c>
      <c r="I26" s="23">
        <v>27.596237182617188</v>
      </c>
      <c r="J26" s="23">
        <v>27.117330551147461</v>
      </c>
      <c r="K26" s="23">
        <v>27.086166381835938</v>
      </c>
      <c r="L26" s="23">
        <v>26.166036605834961</v>
      </c>
      <c r="P26" s="23">
        <v>26.714181900024414</v>
      </c>
      <c r="Q26" s="23">
        <v>25.682205200195312</v>
      </c>
    </row>
    <row r="27" spans="1:18" x14ac:dyDescent="0.2">
      <c r="B27" s="2">
        <f t="shared" si="6"/>
        <v>100</v>
      </c>
      <c r="C27" s="23">
        <v>28.618719100952148</v>
      </c>
      <c r="D27" s="23">
        <v>31.362543106079102</v>
      </c>
      <c r="E27" s="4"/>
      <c r="F27" s="23">
        <v>30.411722183227539</v>
      </c>
      <c r="G27" s="23">
        <v>29.904626846313477</v>
      </c>
      <c r="H27" s="4"/>
      <c r="I27" s="23">
        <v>31.019702911376953</v>
      </c>
      <c r="J27" s="23">
        <v>30.493722915649414</v>
      </c>
      <c r="K27" s="23">
        <v>30.855575561523438</v>
      </c>
      <c r="L27" s="23">
        <v>29.283416748046875</v>
      </c>
      <c r="M27" s="4"/>
      <c r="O27" s="4"/>
      <c r="P27" s="23">
        <v>30.096199035644531</v>
      </c>
      <c r="Q27" s="23">
        <v>29.112766265869141</v>
      </c>
    </row>
    <row r="28" spans="1:18" x14ac:dyDescent="0.2">
      <c r="B28" s="2">
        <f t="shared" si="6"/>
        <v>10</v>
      </c>
      <c r="C28" s="23">
        <v>31.7247314453125</v>
      </c>
      <c r="D28" s="23">
        <v>34.414405822753906</v>
      </c>
      <c r="E28" s="5"/>
      <c r="F28" s="23">
        <v>33.813423156738281</v>
      </c>
      <c r="G28" s="23">
        <v>33.449092864990234</v>
      </c>
      <c r="H28" s="5"/>
      <c r="I28" s="23">
        <v>34.975666046142578</v>
      </c>
      <c r="J28" s="23">
        <v>34.478992462158203</v>
      </c>
      <c r="K28" s="23">
        <v>33.720706939697266</v>
      </c>
      <c r="L28" s="23">
        <v>32.084182739257812</v>
      </c>
      <c r="M28" s="5"/>
      <c r="N28" s="4"/>
      <c r="P28" s="23">
        <v>32.823055267333984</v>
      </c>
    </row>
    <row r="29" spans="1:18" x14ac:dyDescent="0.2">
      <c r="A29" s="6" t="s">
        <v>61</v>
      </c>
      <c r="C29" s="27">
        <v>1</v>
      </c>
      <c r="D29" s="24">
        <v>1</v>
      </c>
      <c r="E29" s="24">
        <v>1</v>
      </c>
      <c r="F29" s="24">
        <v>1</v>
      </c>
      <c r="G29" s="24">
        <v>1</v>
      </c>
      <c r="H29" s="24"/>
      <c r="I29" s="24">
        <v>1</v>
      </c>
      <c r="J29" s="24">
        <v>1</v>
      </c>
      <c r="K29" s="24">
        <v>1</v>
      </c>
      <c r="L29" s="24">
        <v>1</v>
      </c>
      <c r="M29" s="7"/>
      <c r="N29" s="7"/>
      <c r="O29" s="7"/>
      <c r="P29" s="27">
        <v>1</v>
      </c>
      <c r="Q29" s="22">
        <v>1</v>
      </c>
    </row>
    <row r="30" spans="1:18" x14ac:dyDescent="0.2">
      <c r="A30" s="2" t="s">
        <v>62</v>
      </c>
      <c r="C30" s="9" t="s">
        <v>9</v>
      </c>
      <c r="D30" s="25">
        <v>37.9</v>
      </c>
      <c r="E30" s="8">
        <v>37.9</v>
      </c>
      <c r="F30" s="26" t="s">
        <v>9</v>
      </c>
      <c r="G30" s="26" t="s">
        <v>9</v>
      </c>
      <c r="H30" s="8"/>
      <c r="I30" s="26" t="s">
        <v>9</v>
      </c>
      <c r="J30" s="8">
        <v>36.5</v>
      </c>
      <c r="K30" s="26" t="s">
        <v>9</v>
      </c>
      <c r="L30" s="9">
        <v>35.5</v>
      </c>
      <c r="M30" s="9"/>
      <c r="N30" s="9"/>
      <c r="O30" s="9"/>
      <c r="P30" s="9">
        <v>33.6</v>
      </c>
      <c r="Q30" s="28">
        <v>32.218105000000001</v>
      </c>
      <c r="R30" s="9"/>
    </row>
    <row r="31" spans="1:18" x14ac:dyDescent="0.2">
      <c r="A31" s="2" t="s">
        <v>63</v>
      </c>
      <c r="C31" s="3">
        <f>INTERCEPT(C22:C28,LOG($B$22:$B$28))</f>
        <v>35.094211987086709</v>
      </c>
      <c r="D31" s="3">
        <f t="shared" ref="D31:R31" si="7">INTERCEPT(D22:D28,LOG($B$22:$B$28))</f>
        <v>38.542146410260884</v>
      </c>
      <c r="E31" s="3">
        <f t="shared" si="7"/>
        <v>36.386200269063316</v>
      </c>
      <c r="F31" s="3">
        <f t="shared" si="7"/>
        <v>37.452987398420056</v>
      </c>
      <c r="G31" s="3">
        <f t="shared" si="7"/>
        <v>36.859261240277974</v>
      </c>
      <c r="H31" s="3" t="e">
        <f t="shared" si="7"/>
        <v>#DIV/0!</v>
      </c>
      <c r="I31" s="3">
        <f t="shared" si="7"/>
        <v>38.670846394130166</v>
      </c>
      <c r="J31" s="3">
        <f t="shared" si="7"/>
        <v>38.14331177302769</v>
      </c>
      <c r="K31" s="3">
        <f t="shared" si="7"/>
        <v>37.593709673200337</v>
      </c>
      <c r="L31" s="3">
        <f t="shared" si="7"/>
        <v>35.671694619315012</v>
      </c>
      <c r="M31" s="3" t="e">
        <f t="shared" si="7"/>
        <v>#DIV/0!</v>
      </c>
      <c r="N31" s="3" t="e">
        <f t="shared" si="7"/>
        <v>#DIV/0!</v>
      </c>
      <c r="O31" s="3" t="e">
        <f t="shared" si="7"/>
        <v>#DIV/0!</v>
      </c>
      <c r="P31" s="3">
        <f t="shared" si="7"/>
        <v>36.582193647112163</v>
      </c>
      <c r="Q31" s="3">
        <f t="shared" si="7"/>
        <v>36.115303766159784</v>
      </c>
      <c r="R31" s="3" t="e">
        <f t="shared" si="7"/>
        <v>#DIV/0!</v>
      </c>
    </row>
    <row r="32" spans="1:18" x14ac:dyDescent="0.2">
      <c r="A32" s="2" t="s">
        <v>64</v>
      </c>
      <c r="C32" s="3">
        <f>SLOPE(C22:C28,LOG($B$22:$B$28))</f>
        <v>-3.2699442250388011</v>
      </c>
      <c r="D32" s="3">
        <f t="shared" ref="D32:R32" si="8">SLOPE(D22:D28,LOG($B$22:$B$28))</f>
        <v>-3.6421182155609131</v>
      </c>
      <c r="E32" s="3">
        <f t="shared" si="8"/>
        <v>-3.5464930534362793</v>
      </c>
      <c r="F32" s="3">
        <f t="shared" si="8"/>
        <v>-3.5487034661429262</v>
      </c>
      <c r="G32" s="3">
        <f t="shared" si="8"/>
        <v>-3.5369046415601462</v>
      </c>
      <c r="H32" s="3" t="e">
        <f t="shared" si="8"/>
        <v>#DIV/0!</v>
      </c>
      <c r="I32" s="3">
        <f t="shared" si="8"/>
        <v>-3.7267923014504576</v>
      </c>
      <c r="J32" s="3">
        <f t="shared" si="8"/>
        <v>-3.6959106240953723</v>
      </c>
      <c r="K32" s="3">
        <f t="shared" si="8"/>
        <v>-3.5356042044503346</v>
      </c>
      <c r="L32" s="3">
        <f t="shared" si="8"/>
        <v>-3.1882671969277516</v>
      </c>
      <c r="M32" s="3" t="e">
        <f t="shared" si="8"/>
        <v>#DIV/0!</v>
      </c>
      <c r="N32" s="3" t="e">
        <f t="shared" si="8"/>
        <v>#DIV/0!</v>
      </c>
      <c r="O32" s="3" t="e">
        <f t="shared" si="8"/>
        <v>#DIV/0!</v>
      </c>
      <c r="P32" s="3">
        <f t="shared" si="8"/>
        <v>-3.3508589608328685</v>
      </c>
      <c r="Q32" s="3">
        <f t="shared" si="8"/>
        <v>-3.4607948575701033</v>
      </c>
      <c r="R32" s="3" t="e">
        <f t="shared" si="8"/>
        <v>#DIV/0!</v>
      </c>
    </row>
    <row r="33" spans="1:18" x14ac:dyDescent="0.2">
      <c r="A33" s="2" t="s">
        <v>65</v>
      </c>
      <c r="C33" s="19">
        <f>(10^(-1/C32)-1)*100</f>
        <v>102.21604576285861</v>
      </c>
      <c r="D33" s="19">
        <f t="shared" ref="D33:R33" si="9">(10^(-1/D32)-1)*100</f>
        <v>88.176548081081194</v>
      </c>
      <c r="E33" s="19">
        <f t="shared" si="9"/>
        <v>91.411792328356611</v>
      </c>
      <c r="F33" s="19">
        <f t="shared" si="9"/>
        <v>91.334399430291114</v>
      </c>
      <c r="G33" s="19">
        <f t="shared" si="9"/>
        <v>91.748994881641096</v>
      </c>
      <c r="H33" s="19" t="e">
        <f t="shared" si="9"/>
        <v>#DIV/0!</v>
      </c>
      <c r="I33" s="19">
        <f t="shared" si="9"/>
        <v>85.492890542665918</v>
      </c>
      <c r="J33" s="19">
        <f t="shared" si="9"/>
        <v>86.452973351432831</v>
      </c>
      <c r="K33" s="19">
        <f t="shared" si="9"/>
        <v>91.794915015324378</v>
      </c>
      <c r="L33" s="19">
        <f t="shared" si="9"/>
        <v>105.89699013671901</v>
      </c>
      <c r="M33" s="19" t="e">
        <f t="shared" si="9"/>
        <v>#DIV/0!</v>
      </c>
      <c r="N33" s="19" t="e">
        <f t="shared" si="9"/>
        <v>#DIV/0!</v>
      </c>
      <c r="O33" s="19" t="e">
        <f t="shared" si="9"/>
        <v>#DIV/0!</v>
      </c>
      <c r="P33" s="19">
        <f t="shared" si="9"/>
        <v>98.806666416653769</v>
      </c>
      <c r="Q33" s="19">
        <f t="shared" si="9"/>
        <v>94.514043093513152</v>
      </c>
      <c r="R33" s="19" t="e">
        <f t="shared" si="9"/>
        <v>#DIV/0!</v>
      </c>
    </row>
    <row r="34" spans="1:18" x14ac:dyDescent="0.2">
      <c r="A34" s="2" t="s">
        <v>3</v>
      </c>
      <c r="C34" s="10">
        <f>10^(-1/C32)</f>
        <v>2.0221604576285861</v>
      </c>
      <c r="D34" s="10">
        <f t="shared" ref="D34:R34" si="10">10^(-1/D32)</f>
        <v>1.881765480810812</v>
      </c>
      <c r="E34" s="10">
        <f t="shared" si="10"/>
        <v>1.9141179232835661</v>
      </c>
      <c r="F34" s="10">
        <f t="shared" si="10"/>
        <v>1.9133439943029111</v>
      </c>
      <c r="G34" s="10">
        <f t="shared" si="10"/>
        <v>1.917489948816411</v>
      </c>
      <c r="H34" s="10" t="e">
        <f t="shared" si="10"/>
        <v>#DIV/0!</v>
      </c>
      <c r="I34" s="10">
        <f t="shared" si="10"/>
        <v>1.8549289054266591</v>
      </c>
      <c r="J34" s="10">
        <f t="shared" si="10"/>
        <v>1.8645297335143283</v>
      </c>
      <c r="K34" s="10">
        <f t="shared" si="10"/>
        <v>1.9179491501532437</v>
      </c>
      <c r="L34" s="10">
        <f t="shared" si="10"/>
        <v>2.05896990136719</v>
      </c>
      <c r="M34" s="10" t="e">
        <f t="shared" si="10"/>
        <v>#DIV/0!</v>
      </c>
      <c r="N34" s="10" t="e">
        <f t="shared" si="10"/>
        <v>#DIV/0!</v>
      </c>
      <c r="O34" s="10" t="e">
        <f t="shared" si="10"/>
        <v>#DIV/0!</v>
      </c>
      <c r="P34" s="10">
        <f t="shared" si="10"/>
        <v>1.9880666641665377</v>
      </c>
      <c r="Q34" s="10">
        <f t="shared" si="10"/>
        <v>1.9451404309351314</v>
      </c>
      <c r="R34" s="10" t="e">
        <f t="shared" si="10"/>
        <v>#DIV/0!</v>
      </c>
    </row>
    <row r="35" spans="1:18" x14ac:dyDescent="0.2">
      <c r="A35" s="11" t="s">
        <v>66</v>
      </c>
      <c r="C35" s="10">
        <f>RSQ(LOG($B$22:$B$28),C22:C28)</f>
        <v>0.99970416352340519</v>
      </c>
      <c r="D35" s="10">
        <f t="shared" ref="D35:R35" si="11">RSQ(LOG($B$22:$B$28),D22:D28)</f>
        <v>0.99819813326142215</v>
      </c>
      <c r="E35" s="10">
        <f t="shared" si="11"/>
        <v>0.99989607105491429</v>
      </c>
      <c r="F35" s="10">
        <f t="shared" si="11"/>
        <v>0.99989290990743795</v>
      </c>
      <c r="G35" s="10">
        <f t="shared" si="11"/>
        <v>0.99960834336977111</v>
      </c>
      <c r="H35" s="10" t="e">
        <f t="shared" si="11"/>
        <v>#DIV/0!</v>
      </c>
      <c r="I35" s="10">
        <f t="shared" si="11"/>
        <v>0.99978394929212511</v>
      </c>
      <c r="J35" s="10">
        <f t="shared" si="11"/>
        <v>0.99909066346199749</v>
      </c>
      <c r="K35" s="10">
        <f t="shared" si="11"/>
        <v>0.99929276502267994</v>
      </c>
      <c r="L35" s="10">
        <f t="shared" si="11"/>
        <v>0.99661903259311879</v>
      </c>
      <c r="M35" s="10" t="e">
        <f t="shared" si="11"/>
        <v>#DIV/0!</v>
      </c>
      <c r="N35" s="10" t="e">
        <f t="shared" si="11"/>
        <v>#DIV/0!</v>
      </c>
      <c r="O35" s="10" t="e">
        <f t="shared" si="11"/>
        <v>#DIV/0!</v>
      </c>
      <c r="P35" s="10">
        <f t="shared" si="11"/>
        <v>0.99885136492946236</v>
      </c>
      <c r="Q35" s="10">
        <f t="shared" si="11"/>
        <v>0.99918228493984373</v>
      </c>
      <c r="R35" s="10" t="e">
        <f t="shared" si="11"/>
        <v>#DIV/0!</v>
      </c>
    </row>
    <row r="36" spans="1:18" x14ac:dyDescent="0.2">
      <c r="A36" s="2" t="s">
        <v>67</v>
      </c>
      <c r="C36" s="5" t="s">
        <v>125</v>
      </c>
      <c r="D36" s="5" t="s">
        <v>125</v>
      </c>
      <c r="E36" s="5" t="s">
        <v>125</v>
      </c>
      <c r="F36" s="5" t="s">
        <v>125</v>
      </c>
      <c r="G36" s="5" t="s">
        <v>125</v>
      </c>
      <c r="H36" s="5" t="s">
        <v>125</v>
      </c>
      <c r="I36" s="5" t="s">
        <v>125</v>
      </c>
      <c r="J36" s="5" t="s">
        <v>125</v>
      </c>
      <c r="K36" s="5" t="s">
        <v>125</v>
      </c>
      <c r="L36" s="5" t="s">
        <v>125</v>
      </c>
      <c r="M36" s="5" t="s">
        <v>125</v>
      </c>
      <c r="N36" s="5" t="s">
        <v>125</v>
      </c>
      <c r="O36" s="5" t="s">
        <v>125</v>
      </c>
      <c r="P36" s="5" t="s">
        <v>125</v>
      </c>
      <c r="Q36" s="5"/>
      <c r="R36" s="5" t="s">
        <v>125</v>
      </c>
    </row>
    <row r="37" spans="1:18" x14ac:dyDescent="0.2">
      <c r="A37" s="2" t="s">
        <v>76</v>
      </c>
      <c r="C37" s="2" t="s">
        <v>10</v>
      </c>
      <c r="D37" s="2" t="s">
        <v>77</v>
      </c>
      <c r="E37" s="2" t="s">
        <v>16</v>
      </c>
      <c r="F37" s="2" t="s">
        <v>19</v>
      </c>
      <c r="G37" s="2" t="s">
        <v>22</v>
      </c>
      <c r="H37" s="2" t="s">
        <v>25</v>
      </c>
      <c r="I37" s="2" t="s">
        <v>28</v>
      </c>
      <c r="J37" s="2" t="s">
        <v>31</v>
      </c>
      <c r="K37" s="2" t="s">
        <v>34</v>
      </c>
      <c r="L37" s="2" t="s">
        <v>37</v>
      </c>
      <c r="M37" s="2" t="s">
        <v>38</v>
      </c>
      <c r="N37" s="2" t="s">
        <v>78</v>
      </c>
      <c r="O37" s="2" t="s">
        <v>43</v>
      </c>
      <c r="P37" s="2" t="s">
        <v>41</v>
      </c>
      <c r="Q37" s="2" t="s">
        <v>129</v>
      </c>
    </row>
    <row r="38" spans="1:18" x14ac:dyDescent="0.2">
      <c r="A38" s="2" t="s">
        <v>79</v>
      </c>
      <c r="C38" s="5">
        <v>181001</v>
      </c>
      <c r="D38" s="5">
        <v>180305</v>
      </c>
      <c r="E38" s="5">
        <v>181121</v>
      </c>
      <c r="F38" s="5">
        <v>181121</v>
      </c>
      <c r="G38" s="5">
        <v>181120</v>
      </c>
      <c r="H38" s="5"/>
      <c r="I38" s="5">
        <v>180305</v>
      </c>
      <c r="J38" s="5">
        <v>181120</v>
      </c>
      <c r="K38" s="5">
        <v>180305</v>
      </c>
      <c r="L38" s="5">
        <v>181121</v>
      </c>
      <c r="M38" s="5"/>
      <c r="N38" s="5"/>
      <c r="O38" s="5"/>
      <c r="P38" s="5">
        <v>181001</v>
      </c>
      <c r="Q38" s="18"/>
    </row>
  </sheetData>
  <conditionalFormatting sqref="C13:Q1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3:R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:F13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3:F3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3:N13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3:N3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3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3:Q13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3:R3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FB8FD-5EA9-F845-8217-4664E8F46B5E}">
  <dimension ref="A1:L106"/>
  <sheetViews>
    <sheetView workbookViewId="0">
      <selection activeCell="F21" sqref="F21"/>
    </sheetView>
  </sheetViews>
  <sheetFormatPr baseColWidth="10" defaultRowHeight="16" x14ac:dyDescent="0.2"/>
  <cols>
    <col min="1" max="1" width="24.33203125" customWidth="1"/>
    <col min="2" max="2" width="14.83203125" customWidth="1"/>
    <col min="3" max="12" width="16.5" customWidth="1"/>
  </cols>
  <sheetData>
    <row r="1" spans="1:12" ht="21" x14ac:dyDescent="0.25">
      <c r="B1" t="s">
        <v>124</v>
      </c>
      <c r="C1" s="1" t="s">
        <v>131</v>
      </c>
      <c r="D1" s="1" t="s">
        <v>12</v>
      </c>
      <c r="E1" s="1" t="s">
        <v>15</v>
      </c>
      <c r="F1" s="1" t="s">
        <v>18</v>
      </c>
      <c r="G1" s="1" t="s">
        <v>21</v>
      </c>
      <c r="H1" s="1" t="s">
        <v>27</v>
      </c>
      <c r="I1" s="1" t="s">
        <v>30</v>
      </c>
      <c r="J1" s="1" t="s">
        <v>33</v>
      </c>
      <c r="K1" s="1" t="s">
        <v>40</v>
      </c>
      <c r="L1" s="1" t="s">
        <v>140</v>
      </c>
    </row>
    <row r="2" spans="1:12" x14ac:dyDescent="0.2">
      <c r="B2" s="2">
        <v>10000000</v>
      </c>
      <c r="C2" s="23" t="e">
        <f>F27</f>
        <v>#DIV/0!</v>
      </c>
      <c r="D2" s="23" t="e">
        <f>F35</f>
        <v>#DIV/0!</v>
      </c>
      <c r="E2" s="23" t="e">
        <f>F43</f>
        <v>#DIV/0!</v>
      </c>
      <c r="F2" s="23" t="e">
        <f>F51</f>
        <v>#DIV/0!</v>
      </c>
      <c r="G2" s="23" t="e">
        <f>F59</f>
        <v>#DIV/0!</v>
      </c>
      <c r="H2" s="23" t="e">
        <f>F67</f>
        <v>#DIV/0!</v>
      </c>
      <c r="I2" s="23" t="e">
        <f>F75</f>
        <v>#DIV/0!</v>
      </c>
      <c r="J2" s="23" t="e">
        <f>F83</f>
        <v>#DIV/0!</v>
      </c>
      <c r="K2" s="23" t="e">
        <f>F91</f>
        <v>#DIV/0!</v>
      </c>
      <c r="L2" s="23" t="e">
        <f>F99</f>
        <v>#DIV/0!</v>
      </c>
    </row>
    <row r="3" spans="1:12" x14ac:dyDescent="0.2">
      <c r="B3" s="2">
        <f>B2/10</f>
        <v>1000000</v>
      </c>
      <c r="C3" s="23" t="e">
        <f t="shared" ref="C3:C9" si="0">F28</f>
        <v>#DIV/0!</v>
      </c>
      <c r="D3" s="23" t="e">
        <f t="shared" ref="D3:D9" si="1">F36</f>
        <v>#DIV/0!</v>
      </c>
      <c r="E3" s="23" t="e">
        <f t="shared" ref="E3:E9" si="2">F44</f>
        <v>#DIV/0!</v>
      </c>
      <c r="F3" s="23" t="e">
        <f t="shared" ref="F3:F9" si="3">F52</f>
        <v>#DIV/0!</v>
      </c>
      <c r="G3" s="23" t="e">
        <f t="shared" ref="G3:G9" si="4">F60</f>
        <v>#DIV/0!</v>
      </c>
      <c r="H3" s="23" t="e">
        <f t="shared" ref="H3:H9" si="5">F68</f>
        <v>#DIV/0!</v>
      </c>
      <c r="I3" s="23" t="e">
        <f t="shared" ref="I3:I9" si="6">F76</f>
        <v>#DIV/0!</v>
      </c>
      <c r="J3" s="23" t="e">
        <f t="shared" ref="J3:J9" si="7">F84</f>
        <v>#DIV/0!</v>
      </c>
      <c r="K3" s="23" t="e">
        <f t="shared" ref="K3:K9" si="8">F92</f>
        <v>#DIV/0!</v>
      </c>
      <c r="L3" s="23" t="e">
        <f t="shared" ref="L3:L9" si="9">F100</f>
        <v>#DIV/0!</v>
      </c>
    </row>
    <row r="4" spans="1:12" x14ac:dyDescent="0.2">
      <c r="B4" s="2">
        <f t="shared" ref="B4:B8" si="10">B3/10</f>
        <v>100000</v>
      </c>
      <c r="C4" s="23" t="e">
        <f t="shared" si="0"/>
        <v>#DIV/0!</v>
      </c>
      <c r="D4" s="23" t="e">
        <f t="shared" si="1"/>
        <v>#DIV/0!</v>
      </c>
      <c r="E4" s="23" t="e">
        <f t="shared" si="2"/>
        <v>#DIV/0!</v>
      </c>
      <c r="F4" s="23" t="e">
        <f t="shared" si="3"/>
        <v>#DIV/0!</v>
      </c>
      <c r="G4" s="23" t="e">
        <f t="shared" si="4"/>
        <v>#DIV/0!</v>
      </c>
      <c r="H4" s="23" t="e">
        <f t="shared" si="5"/>
        <v>#DIV/0!</v>
      </c>
      <c r="I4" s="23" t="e">
        <f t="shared" si="6"/>
        <v>#DIV/0!</v>
      </c>
      <c r="J4" s="23" t="e">
        <f t="shared" si="7"/>
        <v>#DIV/0!</v>
      </c>
      <c r="K4" s="23" t="e">
        <f t="shared" si="8"/>
        <v>#DIV/0!</v>
      </c>
      <c r="L4" s="23" t="e">
        <f t="shared" si="9"/>
        <v>#DIV/0!</v>
      </c>
    </row>
    <row r="5" spans="1:12" x14ac:dyDescent="0.2">
      <c r="B5" s="2">
        <f t="shared" si="10"/>
        <v>10000</v>
      </c>
      <c r="C5" s="23" t="e">
        <f t="shared" si="0"/>
        <v>#DIV/0!</v>
      </c>
      <c r="D5" s="23" t="e">
        <f t="shared" si="1"/>
        <v>#DIV/0!</v>
      </c>
      <c r="E5" s="23" t="e">
        <f t="shared" si="2"/>
        <v>#DIV/0!</v>
      </c>
      <c r="F5" s="23" t="e">
        <f t="shared" si="3"/>
        <v>#DIV/0!</v>
      </c>
      <c r="G5" s="23" t="e">
        <f t="shared" si="4"/>
        <v>#DIV/0!</v>
      </c>
      <c r="H5" s="23" t="e">
        <f t="shared" si="5"/>
        <v>#DIV/0!</v>
      </c>
      <c r="I5" s="23" t="e">
        <f t="shared" si="6"/>
        <v>#DIV/0!</v>
      </c>
      <c r="J5" s="23" t="e">
        <f t="shared" si="7"/>
        <v>#DIV/0!</v>
      </c>
      <c r="K5" s="23" t="e">
        <f t="shared" si="8"/>
        <v>#DIV/0!</v>
      </c>
      <c r="L5" s="23" t="e">
        <f t="shared" si="9"/>
        <v>#DIV/0!</v>
      </c>
    </row>
    <row r="6" spans="1:12" x14ac:dyDescent="0.2">
      <c r="B6" s="2">
        <f t="shared" si="10"/>
        <v>1000</v>
      </c>
      <c r="C6" s="23" t="e">
        <f t="shared" si="0"/>
        <v>#DIV/0!</v>
      </c>
      <c r="D6" s="23" t="e">
        <f t="shared" si="1"/>
        <v>#DIV/0!</v>
      </c>
      <c r="E6" s="23" t="e">
        <f t="shared" si="2"/>
        <v>#DIV/0!</v>
      </c>
      <c r="F6" s="23" t="e">
        <f t="shared" si="3"/>
        <v>#DIV/0!</v>
      </c>
      <c r="G6" s="23" t="e">
        <f t="shared" si="4"/>
        <v>#DIV/0!</v>
      </c>
      <c r="H6" s="23" t="e">
        <f t="shared" si="5"/>
        <v>#DIV/0!</v>
      </c>
      <c r="I6" s="23" t="e">
        <f t="shared" si="6"/>
        <v>#DIV/0!</v>
      </c>
      <c r="J6" s="23" t="e">
        <f t="shared" si="7"/>
        <v>#DIV/0!</v>
      </c>
      <c r="K6" s="23" t="e">
        <f t="shared" si="8"/>
        <v>#DIV/0!</v>
      </c>
      <c r="L6" s="23" t="e">
        <f t="shared" si="9"/>
        <v>#DIV/0!</v>
      </c>
    </row>
    <row r="7" spans="1:12" x14ac:dyDescent="0.2">
      <c r="B7" s="2">
        <f t="shared" si="10"/>
        <v>100</v>
      </c>
      <c r="C7" s="23" t="e">
        <f t="shared" si="0"/>
        <v>#DIV/0!</v>
      </c>
      <c r="D7" s="23" t="e">
        <f t="shared" si="1"/>
        <v>#DIV/0!</v>
      </c>
      <c r="E7" s="23" t="e">
        <f t="shared" si="2"/>
        <v>#DIV/0!</v>
      </c>
      <c r="F7" s="23" t="e">
        <f t="shared" si="3"/>
        <v>#DIV/0!</v>
      </c>
      <c r="G7" s="23" t="e">
        <f t="shared" si="4"/>
        <v>#DIV/0!</v>
      </c>
      <c r="H7" s="23" t="e">
        <f t="shared" si="5"/>
        <v>#DIV/0!</v>
      </c>
      <c r="I7" s="23" t="e">
        <f t="shared" si="6"/>
        <v>#DIV/0!</v>
      </c>
      <c r="J7" s="23" t="e">
        <f t="shared" si="7"/>
        <v>#DIV/0!</v>
      </c>
      <c r="K7" s="35" t="e">
        <f t="shared" si="8"/>
        <v>#DIV/0!</v>
      </c>
      <c r="L7" s="35" t="e">
        <f t="shared" si="9"/>
        <v>#DIV/0!</v>
      </c>
    </row>
    <row r="8" spans="1:12" x14ac:dyDescent="0.2">
      <c r="B8" s="2">
        <f t="shared" si="10"/>
        <v>10</v>
      </c>
      <c r="C8" s="23" t="e">
        <f t="shared" si="0"/>
        <v>#DIV/0!</v>
      </c>
      <c r="D8" s="23" t="e">
        <f t="shared" si="1"/>
        <v>#DIV/0!</v>
      </c>
      <c r="E8" s="23" t="e">
        <f t="shared" si="2"/>
        <v>#DIV/0!</v>
      </c>
      <c r="F8" s="23" t="e">
        <f t="shared" si="3"/>
        <v>#DIV/0!</v>
      </c>
      <c r="G8" s="23" t="e">
        <f t="shared" si="4"/>
        <v>#DIV/0!</v>
      </c>
      <c r="H8" s="23" t="e">
        <f t="shared" si="5"/>
        <v>#DIV/0!</v>
      </c>
      <c r="I8" s="35" t="e">
        <f t="shared" si="6"/>
        <v>#DIV/0!</v>
      </c>
      <c r="J8" s="35" t="e">
        <f t="shared" si="7"/>
        <v>#DIV/0!</v>
      </c>
      <c r="K8" s="35" t="e">
        <f t="shared" si="8"/>
        <v>#DIV/0!</v>
      </c>
      <c r="L8" s="35" t="e">
        <f t="shared" si="9"/>
        <v>#DIV/0!</v>
      </c>
    </row>
    <row r="9" spans="1:12" x14ac:dyDescent="0.2">
      <c r="B9" s="34" t="s">
        <v>139</v>
      </c>
      <c r="C9" s="35" t="e">
        <f t="shared" si="0"/>
        <v>#DIV/0!</v>
      </c>
      <c r="D9" s="35" t="e">
        <f t="shared" si="1"/>
        <v>#DIV/0!</v>
      </c>
      <c r="E9" s="35" t="e">
        <f t="shared" si="2"/>
        <v>#DIV/0!</v>
      </c>
      <c r="F9" s="35" t="str">
        <f t="shared" si="3"/>
        <v>NA</v>
      </c>
      <c r="G9" s="35" t="str">
        <f t="shared" si="4"/>
        <v>NA</v>
      </c>
      <c r="H9" s="35" t="e">
        <f t="shared" si="5"/>
        <v>#DIV/0!</v>
      </c>
      <c r="I9" s="35" t="e">
        <f t="shared" si="6"/>
        <v>#DIV/0!</v>
      </c>
      <c r="J9" s="35" t="e">
        <f t="shared" si="7"/>
        <v>#DIV/0!</v>
      </c>
      <c r="K9" s="35" t="e">
        <f t="shared" si="8"/>
        <v>#DIV/0!</v>
      </c>
      <c r="L9" s="35" t="e">
        <f t="shared" si="9"/>
        <v>#DIV/0!</v>
      </c>
    </row>
    <row r="10" spans="1:12" x14ac:dyDescent="0.2">
      <c r="B10" s="36" t="s">
        <v>146</v>
      </c>
      <c r="C10" s="35"/>
      <c r="D10" s="35"/>
      <c r="E10" s="35"/>
      <c r="F10" s="35"/>
      <c r="G10" s="35"/>
      <c r="H10" s="35"/>
      <c r="I10" s="35"/>
      <c r="J10" s="35"/>
      <c r="K10" s="35"/>
      <c r="L10" s="37"/>
    </row>
    <row r="11" spans="1:12" x14ac:dyDescent="0.2">
      <c r="A11" s="6" t="s">
        <v>158</v>
      </c>
      <c r="C11" s="27">
        <v>1</v>
      </c>
      <c r="D11" s="24">
        <v>1</v>
      </c>
      <c r="E11" s="24">
        <v>1</v>
      </c>
      <c r="F11" s="24">
        <v>1</v>
      </c>
      <c r="G11" s="24">
        <v>1</v>
      </c>
      <c r="H11" s="24">
        <v>1</v>
      </c>
      <c r="I11" s="24">
        <v>1</v>
      </c>
      <c r="J11" s="24">
        <v>1</v>
      </c>
      <c r="K11" s="27">
        <v>1</v>
      </c>
      <c r="L11" s="22">
        <v>1</v>
      </c>
    </row>
    <row r="12" spans="1:12" x14ac:dyDescent="0.2">
      <c r="A12" s="2" t="s">
        <v>63</v>
      </c>
      <c r="C12" s="3" t="e" cm="1">
        <f t="array" ref="C12">INTERCEPT(C2:C8,LOG($B$2:$B$8))</f>
        <v>#DIV/0!</v>
      </c>
      <c r="D12" s="3" t="e" cm="1">
        <f t="array" ref="D12">INTERCEPT(D2:D8,LOG($B$2:$B$8))</f>
        <v>#DIV/0!</v>
      </c>
      <c r="E12" s="3" t="e" cm="1">
        <f t="array" ref="E12">INTERCEPT(E2:E8,LOG($B$2:$B$8))</f>
        <v>#DIV/0!</v>
      </c>
      <c r="F12" s="3" t="e" cm="1">
        <f t="array" ref="F12">INTERCEPT(F2:F8,LOG($B$2:$B$8))</f>
        <v>#DIV/0!</v>
      </c>
      <c r="G12" s="3" t="e" cm="1">
        <f t="array" ref="G12">INTERCEPT(G2:G8,LOG($B$2:$B$8))</f>
        <v>#DIV/0!</v>
      </c>
      <c r="H12" s="3" t="e" cm="1">
        <f t="array" ref="H12">INTERCEPT(H2:H8,LOG($B$2:$B$8))</f>
        <v>#DIV/0!</v>
      </c>
      <c r="I12" s="3" t="e" cm="1">
        <f t="array" ref="I12">INTERCEPT(I2:I7,LOG($B$2:$B$7))</f>
        <v>#DIV/0!</v>
      </c>
      <c r="J12" s="3" t="e" cm="1">
        <f t="array" ref="J12">INTERCEPT(J2:J7,LOG($B$2:$B$7))</f>
        <v>#DIV/0!</v>
      </c>
      <c r="K12" s="3" t="e" cm="1">
        <f t="array" ref="K12">INTERCEPT(K2:K6,LOG($B$2:$B$6))</f>
        <v>#DIV/0!</v>
      </c>
      <c r="L12" s="3" t="e" cm="1">
        <f t="array" ref="L12">INTERCEPT(L2:L6,LOG($B$2:$B$6))</f>
        <v>#DIV/0!</v>
      </c>
    </row>
    <row r="13" spans="1:12" x14ac:dyDescent="0.2">
      <c r="A13" s="2" t="s">
        <v>64</v>
      </c>
      <c r="C13" s="3" t="e" cm="1">
        <f t="array" ref="C13">SLOPE(C2:C8,LOG($B$2:$B$8))</f>
        <v>#DIV/0!</v>
      </c>
      <c r="D13" s="3" t="e" cm="1">
        <f t="array" ref="D13">SLOPE(D2:D8,LOG($B$2:$B$8))</f>
        <v>#DIV/0!</v>
      </c>
      <c r="E13" s="3" t="e" cm="1">
        <f t="array" ref="E13">SLOPE(E2:E8,LOG($B$2:$B$8))</f>
        <v>#DIV/0!</v>
      </c>
      <c r="F13" s="3" t="e" cm="1">
        <f t="array" ref="F13">SLOPE(F2:F8,LOG($B$2:$B$8))</f>
        <v>#DIV/0!</v>
      </c>
      <c r="G13" s="3" t="e" cm="1">
        <f t="array" ref="G13">SLOPE(G2:G8,LOG($B$2:$B$8))</f>
        <v>#DIV/0!</v>
      </c>
      <c r="H13" s="3" t="e" cm="1">
        <f t="array" ref="H13">SLOPE(H2:H8,LOG($B$2:$B$8))</f>
        <v>#DIV/0!</v>
      </c>
      <c r="I13" s="3" t="e" cm="1">
        <f t="array" ref="I13">SLOPE(I2:I7,LOG($B$2:$B$7))</f>
        <v>#DIV/0!</v>
      </c>
      <c r="J13" s="3" t="e" cm="1">
        <f t="array" ref="J13">SLOPE(J2:J7,LOG($B$2:$B$7))</f>
        <v>#DIV/0!</v>
      </c>
      <c r="K13" s="3" t="e" cm="1">
        <f t="array" ref="K13">SLOPE(K2:K6,LOG($B$2:$B$6))</f>
        <v>#DIV/0!</v>
      </c>
      <c r="L13" s="3" t="e" cm="1">
        <f t="array" ref="L13">SLOPE(L2:L6,LOG($B$2:$B$6))</f>
        <v>#DIV/0!</v>
      </c>
    </row>
    <row r="14" spans="1:12" x14ac:dyDescent="0.2">
      <c r="A14" s="2" t="s">
        <v>65</v>
      </c>
      <c r="C14" s="19" t="e">
        <f>(10^(-1/C13)-1)*100</f>
        <v>#DIV/0!</v>
      </c>
      <c r="D14" s="19" t="e">
        <f t="shared" ref="D14:L14" si="11">(10^(-1/D13)-1)*100</f>
        <v>#DIV/0!</v>
      </c>
      <c r="E14" s="19" t="e">
        <f t="shared" si="11"/>
        <v>#DIV/0!</v>
      </c>
      <c r="F14" s="19" t="e">
        <f t="shared" si="11"/>
        <v>#DIV/0!</v>
      </c>
      <c r="G14" s="19" t="e">
        <f t="shared" si="11"/>
        <v>#DIV/0!</v>
      </c>
      <c r="H14" s="19" t="e">
        <f t="shared" si="11"/>
        <v>#DIV/0!</v>
      </c>
      <c r="I14" s="19" t="e">
        <f t="shared" si="11"/>
        <v>#DIV/0!</v>
      </c>
      <c r="J14" s="19" t="e">
        <f t="shared" si="11"/>
        <v>#DIV/0!</v>
      </c>
      <c r="K14" s="19" t="e">
        <f t="shared" si="11"/>
        <v>#DIV/0!</v>
      </c>
      <c r="L14" s="19" t="e">
        <f t="shared" si="11"/>
        <v>#DIV/0!</v>
      </c>
    </row>
    <row r="15" spans="1:12" x14ac:dyDescent="0.2">
      <c r="A15" s="2" t="s">
        <v>3</v>
      </c>
      <c r="C15" s="10" t="e">
        <f>10^(-1/C13)</f>
        <v>#DIV/0!</v>
      </c>
      <c r="D15" s="10" t="e">
        <f t="shared" ref="D15:L15" si="12">10^(-1/D13)</f>
        <v>#DIV/0!</v>
      </c>
      <c r="E15" s="10" t="e">
        <f t="shared" si="12"/>
        <v>#DIV/0!</v>
      </c>
      <c r="F15" s="10" t="e">
        <f t="shared" si="12"/>
        <v>#DIV/0!</v>
      </c>
      <c r="G15" s="10" t="e">
        <f t="shared" si="12"/>
        <v>#DIV/0!</v>
      </c>
      <c r="H15" s="10" t="e">
        <f t="shared" si="12"/>
        <v>#DIV/0!</v>
      </c>
      <c r="I15" s="10" t="e">
        <f t="shared" si="12"/>
        <v>#DIV/0!</v>
      </c>
      <c r="J15" s="10" t="e">
        <f t="shared" si="12"/>
        <v>#DIV/0!</v>
      </c>
      <c r="K15" s="10" t="e">
        <f t="shared" si="12"/>
        <v>#DIV/0!</v>
      </c>
      <c r="L15" s="10" t="e">
        <f t="shared" si="12"/>
        <v>#DIV/0!</v>
      </c>
    </row>
    <row r="16" spans="1:12" x14ac:dyDescent="0.2">
      <c r="A16" s="11" t="s">
        <v>66</v>
      </c>
      <c r="C16" s="10" t="e" cm="1">
        <f t="array" ref="C16">RSQ(LOG($B$2:$B$8),C2:C8)</f>
        <v>#DIV/0!</v>
      </c>
      <c r="D16" s="10" t="e" cm="1">
        <f t="array" ref="D16">RSQ(LOG($B$2:$B$8),D2:D8)</f>
        <v>#DIV/0!</v>
      </c>
      <c r="E16" s="10" t="e" cm="1">
        <f t="array" ref="E16">RSQ(LOG($B$2:$B$8),E2:E8)</f>
        <v>#DIV/0!</v>
      </c>
      <c r="F16" s="10" t="e" cm="1">
        <f t="array" ref="F16">RSQ(LOG($B$2:$B$8),F2:F8)</f>
        <v>#DIV/0!</v>
      </c>
      <c r="G16" s="10" t="e" cm="1">
        <f t="array" ref="G16">RSQ(LOG($B$2:$B$8),G2:G8)</f>
        <v>#DIV/0!</v>
      </c>
      <c r="H16" s="10" t="e" cm="1">
        <f t="array" ref="H16">RSQ(LOG($B$2:$B$8),H2:H8)</f>
        <v>#DIV/0!</v>
      </c>
      <c r="I16" s="10" t="e" cm="1">
        <f t="array" ref="I16">RSQ(LOG($B$2:$B$7),I2:I7)</f>
        <v>#DIV/0!</v>
      </c>
      <c r="J16" s="10" t="e" cm="1">
        <f t="array" ref="J16">RSQ(LOG($B$2:$B$8),J2:J8)</f>
        <v>#DIV/0!</v>
      </c>
      <c r="K16" s="10" t="e" cm="1">
        <f t="array" ref="K16">RSQ(LOG($B$2:$B$8),K2:K8)</f>
        <v>#DIV/0!</v>
      </c>
      <c r="L16" s="10" t="e" cm="1">
        <f t="array" ref="L16">RSQ(LOG($B$2:$B$8),L2:L8)</f>
        <v>#DIV/0!</v>
      </c>
    </row>
    <row r="17" spans="1:12" x14ac:dyDescent="0.2">
      <c r="A17" s="2" t="s">
        <v>67</v>
      </c>
      <c r="C17" s="5" t="s">
        <v>147</v>
      </c>
      <c r="D17" s="5" t="s">
        <v>147</v>
      </c>
      <c r="E17" s="5" t="s">
        <v>147</v>
      </c>
      <c r="F17" s="5" t="s">
        <v>147</v>
      </c>
      <c r="G17" s="5" t="s">
        <v>147</v>
      </c>
      <c r="H17" s="5" t="s">
        <v>147</v>
      </c>
      <c r="I17" s="5" t="s">
        <v>147</v>
      </c>
      <c r="J17" s="5" t="s">
        <v>147</v>
      </c>
      <c r="K17" s="5" t="s">
        <v>155</v>
      </c>
      <c r="L17" s="5" t="s">
        <v>155</v>
      </c>
    </row>
    <row r="18" spans="1:12" x14ac:dyDescent="0.2">
      <c r="A18" s="2" t="s">
        <v>76</v>
      </c>
      <c r="C18" s="2" t="s">
        <v>10</v>
      </c>
      <c r="D18" s="2" t="s">
        <v>77</v>
      </c>
      <c r="E18" s="2" t="s">
        <v>16</v>
      </c>
      <c r="F18" s="2" t="s">
        <v>19</v>
      </c>
      <c r="G18" s="2" t="s">
        <v>22</v>
      </c>
      <c r="H18" s="2" t="s">
        <v>28</v>
      </c>
      <c r="I18" s="2" t="s">
        <v>31</v>
      </c>
      <c r="J18" s="2" t="s">
        <v>34</v>
      </c>
      <c r="K18" s="2" t="s">
        <v>41</v>
      </c>
      <c r="L18" s="2" t="s">
        <v>129</v>
      </c>
    </row>
    <row r="19" spans="1:12" x14ac:dyDescent="0.2">
      <c r="A19" s="2" t="s">
        <v>144</v>
      </c>
      <c r="C19" s="5">
        <v>221123</v>
      </c>
      <c r="D19" s="5">
        <v>221123</v>
      </c>
      <c r="E19" s="5">
        <v>221123</v>
      </c>
      <c r="F19" s="5"/>
      <c r="G19" s="5">
        <v>221123</v>
      </c>
      <c r="H19" s="5">
        <v>221123</v>
      </c>
      <c r="I19" s="5">
        <v>221123</v>
      </c>
      <c r="J19" s="5">
        <v>221123</v>
      </c>
      <c r="K19" s="5">
        <v>221123</v>
      </c>
      <c r="L19" s="5">
        <v>221123</v>
      </c>
    </row>
    <row r="20" spans="1:12" x14ac:dyDescent="0.2">
      <c r="A20" s="2" t="s">
        <v>148</v>
      </c>
      <c r="C20" t="s">
        <v>189</v>
      </c>
      <c r="D20" t="s">
        <v>189</v>
      </c>
      <c r="E20" t="s">
        <v>189</v>
      </c>
      <c r="G20" t="s">
        <v>189</v>
      </c>
      <c r="H20" t="s">
        <v>189</v>
      </c>
      <c r="I20" t="s">
        <v>189</v>
      </c>
      <c r="J20" t="s">
        <v>189</v>
      </c>
      <c r="K20" t="s">
        <v>189</v>
      </c>
      <c r="L20" t="s">
        <v>189</v>
      </c>
    </row>
    <row r="21" spans="1:12" x14ac:dyDescent="0.2">
      <c r="A21" s="2"/>
    </row>
    <row r="22" spans="1:12" x14ac:dyDescent="0.2">
      <c r="A22" s="2"/>
    </row>
    <row r="23" spans="1:12" x14ac:dyDescent="0.2">
      <c r="A23" s="2"/>
    </row>
    <row r="25" spans="1:12" s="20" customFormat="1" x14ac:dyDescent="0.2">
      <c r="A25" s="29" t="s">
        <v>132</v>
      </c>
    </row>
    <row r="26" spans="1:12" s="4" customFormat="1" x14ac:dyDescent="0.2">
      <c r="A26" s="4" t="s">
        <v>0</v>
      </c>
      <c r="B26" s="4" t="s">
        <v>133</v>
      </c>
      <c r="C26" s="4" t="s">
        <v>134</v>
      </c>
      <c r="D26" s="4" t="s">
        <v>135</v>
      </c>
      <c r="E26" s="4" t="s">
        <v>136</v>
      </c>
      <c r="F26" s="4" t="s">
        <v>137</v>
      </c>
      <c r="G26" s="4" t="s">
        <v>138</v>
      </c>
    </row>
    <row r="27" spans="1:12" x14ac:dyDescent="0.2">
      <c r="A27" s="20" t="s">
        <v>131</v>
      </c>
      <c r="B27" s="3">
        <v>10000000</v>
      </c>
      <c r="C27" s="32"/>
      <c r="D27" s="32"/>
      <c r="E27" s="32"/>
      <c r="F27" s="33" t="e">
        <f>AVERAGE(C27:E27)</f>
        <v>#DIV/0!</v>
      </c>
      <c r="G27" t="e">
        <f>STDEV(C27:E27)</f>
        <v>#DIV/0!</v>
      </c>
    </row>
    <row r="28" spans="1:12" x14ac:dyDescent="0.2">
      <c r="A28" s="20" t="s">
        <v>131</v>
      </c>
      <c r="B28" s="3">
        <f>B27/10</f>
        <v>1000000</v>
      </c>
      <c r="C28" s="32"/>
      <c r="D28" s="32"/>
      <c r="E28" s="32"/>
      <c r="F28" s="33" t="e">
        <f t="shared" ref="F28:F91" si="13">AVERAGE(C28:E28)</f>
        <v>#DIV/0!</v>
      </c>
      <c r="G28" t="e">
        <f t="shared" ref="G28:G91" si="14">STDEV(C28:E28)</f>
        <v>#DIV/0!</v>
      </c>
    </row>
    <row r="29" spans="1:12" x14ac:dyDescent="0.2">
      <c r="A29" s="20" t="s">
        <v>131</v>
      </c>
      <c r="B29" s="3">
        <f t="shared" ref="B29:B33" si="15">B28/10</f>
        <v>100000</v>
      </c>
      <c r="C29" s="32"/>
      <c r="D29" s="32"/>
      <c r="E29" s="32"/>
      <c r="F29" s="33" t="e">
        <f t="shared" si="13"/>
        <v>#DIV/0!</v>
      </c>
      <c r="G29" t="e">
        <f t="shared" si="14"/>
        <v>#DIV/0!</v>
      </c>
    </row>
    <row r="30" spans="1:12" x14ac:dyDescent="0.2">
      <c r="A30" s="20" t="s">
        <v>131</v>
      </c>
      <c r="B30" s="3">
        <f t="shared" si="15"/>
        <v>10000</v>
      </c>
      <c r="C30" s="32"/>
      <c r="D30" s="32"/>
      <c r="E30" s="32"/>
      <c r="F30" s="33" t="e">
        <f t="shared" si="13"/>
        <v>#DIV/0!</v>
      </c>
      <c r="G30" t="e">
        <f t="shared" si="14"/>
        <v>#DIV/0!</v>
      </c>
    </row>
    <row r="31" spans="1:12" x14ac:dyDescent="0.2">
      <c r="A31" s="20" t="s">
        <v>131</v>
      </c>
      <c r="B31" s="3">
        <f t="shared" si="15"/>
        <v>1000</v>
      </c>
      <c r="C31" s="32"/>
      <c r="D31" s="32"/>
      <c r="E31" s="32"/>
      <c r="F31" s="33" t="e">
        <f t="shared" si="13"/>
        <v>#DIV/0!</v>
      </c>
      <c r="G31" t="e">
        <f t="shared" si="14"/>
        <v>#DIV/0!</v>
      </c>
    </row>
    <row r="32" spans="1:12" x14ac:dyDescent="0.2">
      <c r="A32" s="20" t="s">
        <v>131</v>
      </c>
      <c r="B32" s="3">
        <f t="shared" si="15"/>
        <v>100</v>
      </c>
      <c r="C32" s="32"/>
      <c r="D32" s="32"/>
      <c r="F32" s="33" t="e">
        <f t="shared" si="13"/>
        <v>#DIV/0!</v>
      </c>
      <c r="G32" t="e">
        <f t="shared" si="14"/>
        <v>#DIV/0!</v>
      </c>
    </row>
    <row r="33" spans="1:7" x14ac:dyDescent="0.2">
      <c r="A33" s="20" t="s">
        <v>131</v>
      </c>
      <c r="B33" s="3">
        <f t="shared" si="15"/>
        <v>10</v>
      </c>
      <c r="C33" s="32"/>
      <c r="D33" s="32"/>
      <c r="F33" s="33" t="e">
        <f t="shared" si="13"/>
        <v>#DIV/0!</v>
      </c>
      <c r="G33" t="e">
        <f t="shared" si="14"/>
        <v>#DIV/0!</v>
      </c>
    </row>
    <row r="34" spans="1:7" x14ac:dyDescent="0.2">
      <c r="A34" s="20" t="s">
        <v>131</v>
      </c>
      <c r="B34" t="s">
        <v>139</v>
      </c>
      <c r="C34" s="32"/>
      <c r="D34" s="32"/>
      <c r="E34" s="32"/>
      <c r="F34" s="33" t="e">
        <f t="shared" si="13"/>
        <v>#DIV/0!</v>
      </c>
      <c r="G34" t="e">
        <f t="shared" si="14"/>
        <v>#DIV/0!</v>
      </c>
    </row>
    <row r="35" spans="1:7" x14ac:dyDescent="0.2">
      <c r="A35" s="31" t="s">
        <v>141</v>
      </c>
      <c r="B35" s="3">
        <v>10000000</v>
      </c>
      <c r="C35" s="32"/>
      <c r="D35" s="32"/>
      <c r="E35" s="32"/>
      <c r="F35" s="33" t="e">
        <f t="shared" si="13"/>
        <v>#DIV/0!</v>
      </c>
      <c r="G35" t="e">
        <f t="shared" si="14"/>
        <v>#DIV/0!</v>
      </c>
    </row>
    <row r="36" spans="1:7" x14ac:dyDescent="0.2">
      <c r="A36" s="31" t="s">
        <v>141</v>
      </c>
      <c r="B36" s="3">
        <f>B35/10</f>
        <v>1000000</v>
      </c>
      <c r="C36" s="32"/>
      <c r="D36" s="32"/>
      <c r="E36" s="32"/>
      <c r="F36" s="33" t="e">
        <f t="shared" si="13"/>
        <v>#DIV/0!</v>
      </c>
      <c r="G36" t="e">
        <f t="shared" si="14"/>
        <v>#DIV/0!</v>
      </c>
    </row>
    <row r="37" spans="1:7" x14ac:dyDescent="0.2">
      <c r="A37" s="31" t="s">
        <v>141</v>
      </c>
      <c r="B37" s="3">
        <f t="shared" ref="B37:B41" si="16">B36/10</f>
        <v>100000</v>
      </c>
      <c r="C37" s="32"/>
      <c r="D37" s="32"/>
      <c r="E37" s="32"/>
      <c r="F37" s="33" t="e">
        <f t="shared" si="13"/>
        <v>#DIV/0!</v>
      </c>
      <c r="G37" t="e">
        <f t="shared" si="14"/>
        <v>#DIV/0!</v>
      </c>
    </row>
    <row r="38" spans="1:7" x14ac:dyDescent="0.2">
      <c r="A38" s="31" t="s">
        <v>141</v>
      </c>
      <c r="B38" s="3">
        <f t="shared" si="16"/>
        <v>10000</v>
      </c>
      <c r="C38" s="32"/>
      <c r="D38" s="32"/>
      <c r="E38" s="32"/>
      <c r="F38" s="33" t="e">
        <f t="shared" si="13"/>
        <v>#DIV/0!</v>
      </c>
      <c r="G38" t="e">
        <f t="shared" si="14"/>
        <v>#DIV/0!</v>
      </c>
    </row>
    <row r="39" spans="1:7" x14ac:dyDescent="0.2">
      <c r="A39" s="31" t="s">
        <v>141</v>
      </c>
      <c r="B39" s="3">
        <f t="shared" si="16"/>
        <v>1000</v>
      </c>
      <c r="C39" s="32"/>
      <c r="D39" s="32"/>
      <c r="E39" s="32"/>
      <c r="F39" s="33" t="e">
        <f t="shared" si="13"/>
        <v>#DIV/0!</v>
      </c>
      <c r="G39" t="e">
        <f t="shared" si="14"/>
        <v>#DIV/0!</v>
      </c>
    </row>
    <row r="40" spans="1:7" x14ac:dyDescent="0.2">
      <c r="A40" s="31" t="s">
        <v>141</v>
      </c>
      <c r="B40" s="3">
        <f t="shared" si="16"/>
        <v>100</v>
      </c>
      <c r="C40" s="32"/>
      <c r="D40" s="32"/>
      <c r="E40" s="32"/>
      <c r="F40" s="33" t="e">
        <f t="shared" si="13"/>
        <v>#DIV/0!</v>
      </c>
      <c r="G40" t="e">
        <f t="shared" si="14"/>
        <v>#DIV/0!</v>
      </c>
    </row>
    <row r="41" spans="1:7" x14ac:dyDescent="0.2">
      <c r="A41" s="31" t="s">
        <v>141</v>
      </c>
      <c r="B41" s="3">
        <f t="shared" si="16"/>
        <v>10</v>
      </c>
      <c r="C41" s="32"/>
      <c r="D41" s="32"/>
      <c r="E41" s="32"/>
      <c r="F41" s="33" t="e">
        <f t="shared" si="13"/>
        <v>#DIV/0!</v>
      </c>
      <c r="G41" t="e">
        <f t="shared" si="14"/>
        <v>#DIV/0!</v>
      </c>
    </row>
    <row r="42" spans="1:7" x14ac:dyDescent="0.2">
      <c r="A42" s="31" t="s">
        <v>141</v>
      </c>
      <c r="B42" t="s">
        <v>139</v>
      </c>
      <c r="C42" s="32"/>
      <c r="D42" s="32"/>
      <c r="E42" s="32"/>
      <c r="F42" s="33" t="e">
        <f t="shared" si="13"/>
        <v>#DIV/0!</v>
      </c>
      <c r="G42" t="e">
        <f t="shared" si="14"/>
        <v>#DIV/0!</v>
      </c>
    </row>
    <row r="43" spans="1:7" x14ac:dyDescent="0.2">
      <c r="A43" s="30" t="s">
        <v>142</v>
      </c>
      <c r="B43" s="3">
        <v>10000000</v>
      </c>
      <c r="C43" s="32"/>
      <c r="D43" s="32"/>
      <c r="E43" s="32"/>
      <c r="F43" s="33" t="e">
        <f t="shared" si="13"/>
        <v>#DIV/0!</v>
      </c>
      <c r="G43" t="e">
        <f t="shared" si="14"/>
        <v>#DIV/0!</v>
      </c>
    </row>
    <row r="44" spans="1:7" x14ac:dyDescent="0.2">
      <c r="A44" s="30" t="s">
        <v>142</v>
      </c>
      <c r="B44" s="3">
        <f>B43/10</f>
        <v>1000000</v>
      </c>
      <c r="C44" s="32"/>
      <c r="D44" s="32"/>
      <c r="E44" s="32"/>
      <c r="F44" s="33" t="e">
        <f t="shared" si="13"/>
        <v>#DIV/0!</v>
      </c>
      <c r="G44" t="e">
        <f t="shared" si="14"/>
        <v>#DIV/0!</v>
      </c>
    </row>
    <row r="45" spans="1:7" x14ac:dyDescent="0.2">
      <c r="A45" s="30" t="s">
        <v>142</v>
      </c>
      <c r="B45" s="3">
        <f t="shared" ref="B45:B49" si="17">B44/10</f>
        <v>100000</v>
      </c>
      <c r="C45" s="32"/>
      <c r="D45" s="32"/>
      <c r="E45" s="32"/>
      <c r="F45" s="33" t="e">
        <f t="shared" si="13"/>
        <v>#DIV/0!</v>
      </c>
      <c r="G45" t="e">
        <f t="shared" si="14"/>
        <v>#DIV/0!</v>
      </c>
    </row>
    <row r="46" spans="1:7" x14ac:dyDescent="0.2">
      <c r="A46" s="30" t="s">
        <v>142</v>
      </c>
      <c r="B46" s="3">
        <f t="shared" si="17"/>
        <v>10000</v>
      </c>
      <c r="C46" s="32"/>
      <c r="D46" s="32"/>
      <c r="E46" s="32"/>
      <c r="F46" s="33" t="e">
        <f t="shared" si="13"/>
        <v>#DIV/0!</v>
      </c>
      <c r="G46" t="e">
        <f t="shared" si="14"/>
        <v>#DIV/0!</v>
      </c>
    </row>
    <row r="47" spans="1:7" x14ac:dyDescent="0.2">
      <c r="A47" s="30" t="s">
        <v>142</v>
      </c>
      <c r="B47" s="3">
        <f t="shared" si="17"/>
        <v>1000</v>
      </c>
      <c r="C47" s="32"/>
      <c r="D47" s="32"/>
      <c r="E47" s="32"/>
      <c r="F47" s="33" t="e">
        <f t="shared" si="13"/>
        <v>#DIV/0!</v>
      </c>
      <c r="G47" t="e">
        <f t="shared" si="14"/>
        <v>#DIV/0!</v>
      </c>
    </row>
    <row r="48" spans="1:7" x14ac:dyDescent="0.2">
      <c r="A48" s="30" t="s">
        <v>142</v>
      </c>
      <c r="B48" s="3">
        <f t="shared" si="17"/>
        <v>100</v>
      </c>
      <c r="C48" s="32"/>
      <c r="D48" s="32"/>
      <c r="E48" s="32"/>
      <c r="F48" s="33" t="e">
        <f t="shared" si="13"/>
        <v>#DIV/0!</v>
      </c>
      <c r="G48" t="e">
        <f t="shared" si="14"/>
        <v>#DIV/0!</v>
      </c>
    </row>
    <row r="49" spans="1:7" x14ac:dyDescent="0.2">
      <c r="A49" s="30" t="s">
        <v>142</v>
      </c>
      <c r="B49" s="3">
        <f t="shared" si="17"/>
        <v>10</v>
      </c>
      <c r="C49" s="32"/>
      <c r="D49" s="32"/>
      <c r="E49" s="32"/>
      <c r="F49" s="33" t="e">
        <f t="shared" si="13"/>
        <v>#DIV/0!</v>
      </c>
      <c r="G49" t="e">
        <f t="shared" si="14"/>
        <v>#DIV/0!</v>
      </c>
    </row>
    <row r="50" spans="1:7" x14ac:dyDescent="0.2">
      <c r="A50" s="30" t="s">
        <v>142</v>
      </c>
      <c r="B50" t="s">
        <v>139</v>
      </c>
      <c r="C50" s="32"/>
      <c r="D50" s="32"/>
      <c r="E50" s="32"/>
      <c r="F50" s="33" t="e">
        <f t="shared" si="13"/>
        <v>#DIV/0!</v>
      </c>
      <c r="G50" t="e">
        <f t="shared" si="14"/>
        <v>#DIV/0!</v>
      </c>
    </row>
    <row r="51" spans="1:7" x14ac:dyDescent="0.2">
      <c r="A51" s="9" t="s">
        <v>143</v>
      </c>
      <c r="B51" s="3">
        <v>10000000</v>
      </c>
      <c r="C51" s="32"/>
      <c r="D51" s="32"/>
      <c r="E51" s="32"/>
      <c r="F51" s="33" t="e">
        <f t="shared" si="13"/>
        <v>#DIV/0!</v>
      </c>
      <c r="G51" t="e">
        <f t="shared" si="14"/>
        <v>#DIV/0!</v>
      </c>
    </row>
    <row r="52" spans="1:7" x14ac:dyDescent="0.2">
      <c r="A52" s="9" t="s">
        <v>143</v>
      </c>
      <c r="B52" s="3">
        <f>B51/10</f>
        <v>1000000</v>
      </c>
      <c r="C52" s="32"/>
      <c r="D52" s="32"/>
      <c r="E52" s="32"/>
      <c r="F52" s="33" t="e">
        <f t="shared" si="13"/>
        <v>#DIV/0!</v>
      </c>
      <c r="G52" t="e">
        <f t="shared" si="14"/>
        <v>#DIV/0!</v>
      </c>
    </row>
    <row r="53" spans="1:7" x14ac:dyDescent="0.2">
      <c r="A53" s="9" t="s">
        <v>143</v>
      </c>
      <c r="B53" s="3">
        <f t="shared" ref="B53:B57" si="18">B52/10</f>
        <v>100000</v>
      </c>
      <c r="C53" s="32"/>
      <c r="D53" s="32"/>
      <c r="E53" s="32"/>
      <c r="F53" s="33" t="e">
        <f t="shared" si="13"/>
        <v>#DIV/0!</v>
      </c>
      <c r="G53" t="e">
        <f t="shared" si="14"/>
        <v>#DIV/0!</v>
      </c>
    </row>
    <row r="54" spans="1:7" x14ac:dyDescent="0.2">
      <c r="A54" s="9" t="s">
        <v>143</v>
      </c>
      <c r="B54" s="3">
        <f t="shared" si="18"/>
        <v>10000</v>
      </c>
      <c r="C54" s="32"/>
      <c r="D54" s="32"/>
      <c r="E54" s="32"/>
      <c r="F54" s="33" t="e">
        <f t="shared" si="13"/>
        <v>#DIV/0!</v>
      </c>
      <c r="G54" t="e">
        <f t="shared" si="14"/>
        <v>#DIV/0!</v>
      </c>
    </row>
    <row r="55" spans="1:7" x14ac:dyDescent="0.2">
      <c r="A55" s="9" t="s">
        <v>143</v>
      </c>
      <c r="B55" s="3">
        <f t="shared" si="18"/>
        <v>1000</v>
      </c>
      <c r="C55" s="32"/>
      <c r="D55" s="32"/>
      <c r="E55" s="32"/>
      <c r="F55" s="33" t="e">
        <f t="shared" si="13"/>
        <v>#DIV/0!</v>
      </c>
      <c r="G55" t="e">
        <f t="shared" si="14"/>
        <v>#DIV/0!</v>
      </c>
    </row>
    <row r="56" spans="1:7" x14ac:dyDescent="0.2">
      <c r="A56" s="9" t="s">
        <v>143</v>
      </c>
      <c r="B56" s="3">
        <f t="shared" si="18"/>
        <v>100</v>
      </c>
      <c r="C56" s="32"/>
      <c r="D56" s="32"/>
      <c r="E56" s="32"/>
      <c r="F56" s="33" t="e">
        <f t="shared" si="13"/>
        <v>#DIV/0!</v>
      </c>
      <c r="G56" t="e">
        <f t="shared" si="14"/>
        <v>#DIV/0!</v>
      </c>
    </row>
    <row r="57" spans="1:7" x14ac:dyDescent="0.2">
      <c r="A57" s="9" t="s">
        <v>143</v>
      </c>
      <c r="B57" s="3">
        <f t="shared" si="18"/>
        <v>10</v>
      </c>
      <c r="C57" s="32"/>
      <c r="D57" s="32"/>
      <c r="E57" s="32"/>
      <c r="F57" s="33" t="e">
        <f t="shared" si="13"/>
        <v>#DIV/0!</v>
      </c>
      <c r="G57" t="e">
        <f t="shared" si="14"/>
        <v>#DIV/0!</v>
      </c>
    </row>
    <row r="58" spans="1:7" x14ac:dyDescent="0.2">
      <c r="A58" s="9" t="s">
        <v>143</v>
      </c>
      <c r="B58" t="s">
        <v>139</v>
      </c>
      <c r="F58" s="33" t="s">
        <v>9</v>
      </c>
      <c r="G58" t="e">
        <f t="shared" si="14"/>
        <v>#DIV/0!</v>
      </c>
    </row>
    <row r="59" spans="1:7" x14ac:dyDescent="0.2">
      <c r="A59" s="38" t="s">
        <v>151</v>
      </c>
      <c r="B59" s="3">
        <v>10000000</v>
      </c>
      <c r="C59" s="32"/>
      <c r="D59" s="32"/>
      <c r="E59" s="32"/>
      <c r="F59" s="33" t="e">
        <f t="shared" si="13"/>
        <v>#DIV/0!</v>
      </c>
      <c r="G59" t="e">
        <f t="shared" si="14"/>
        <v>#DIV/0!</v>
      </c>
    </row>
    <row r="60" spans="1:7" x14ac:dyDescent="0.2">
      <c r="A60" s="38" t="s">
        <v>151</v>
      </c>
      <c r="B60" s="3">
        <f>B59/10</f>
        <v>1000000</v>
      </c>
      <c r="C60" s="32"/>
      <c r="D60" s="32"/>
      <c r="E60" s="32"/>
      <c r="F60" s="33" t="e">
        <f t="shared" si="13"/>
        <v>#DIV/0!</v>
      </c>
      <c r="G60" t="e">
        <f t="shared" si="14"/>
        <v>#DIV/0!</v>
      </c>
    </row>
    <row r="61" spans="1:7" x14ac:dyDescent="0.2">
      <c r="A61" s="38" t="s">
        <v>151</v>
      </c>
      <c r="B61" s="3">
        <f t="shared" ref="B61:B65" si="19">B60/10</f>
        <v>100000</v>
      </c>
      <c r="C61" s="32"/>
      <c r="D61" s="32"/>
      <c r="E61" s="32"/>
      <c r="F61" s="33" t="e">
        <f t="shared" si="13"/>
        <v>#DIV/0!</v>
      </c>
      <c r="G61" t="e">
        <f t="shared" si="14"/>
        <v>#DIV/0!</v>
      </c>
    </row>
    <row r="62" spans="1:7" x14ac:dyDescent="0.2">
      <c r="A62" s="38" t="s">
        <v>151</v>
      </c>
      <c r="B62" s="3">
        <f t="shared" si="19"/>
        <v>10000</v>
      </c>
      <c r="C62" s="32"/>
      <c r="D62" s="32"/>
      <c r="E62" s="32"/>
      <c r="F62" s="33" t="e">
        <f t="shared" si="13"/>
        <v>#DIV/0!</v>
      </c>
      <c r="G62" t="e">
        <f t="shared" si="14"/>
        <v>#DIV/0!</v>
      </c>
    </row>
    <row r="63" spans="1:7" x14ac:dyDescent="0.2">
      <c r="A63" s="38" t="s">
        <v>151</v>
      </c>
      <c r="B63" s="3">
        <f t="shared" si="19"/>
        <v>1000</v>
      </c>
      <c r="C63" s="32"/>
      <c r="D63" s="32"/>
      <c r="F63" s="33" t="e">
        <f t="shared" si="13"/>
        <v>#DIV/0!</v>
      </c>
      <c r="G63" t="e">
        <f t="shared" si="14"/>
        <v>#DIV/0!</v>
      </c>
    </row>
    <row r="64" spans="1:7" x14ac:dyDescent="0.2">
      <c r="A64" s="38" t="s">
        <v>151</v>
      </c>
      <c r="B64" s="3">
        <f t="shared" si="19"/>
        <v>100</v>
      </c>
      <c r="C64" s="32"/>
      <c r="D64" s="32"/>
      <c r="E64" s="32"/>
      <c r="F64" s="33" t="e">
        <f t="shared" si="13"/>
        <v>#DIV/0!</v>
      </c>
      <c r="G64" t="e">
        <f t="shared" si="14"/>
        <v>#DIV/0!</v>
      </c>
    </row>
    <row r="65" spans="1:7" x14ac:dyDescent="0.2">
      <c r="A65" s="38" t="s">
        <v>151</v>
      </c>
      <c r="B65" s="3">
        <f t="shared" si="19"/>
        <v>10</v>
      </c>
      <c r="C65" s="32"/>
      <c r="D65" s="32"/>
      <c r="F65" s="33" t="e">
        <f t="shared" si="13"/>
        <v>#DIV/0!</v>
      </c>
      <c r="G65" t="e">
        <f t="shared" si="14"/>
        <v>#DIV/0!</v>
      </c>
    </row>
    <row r="66" spans="1:7" x14ac:dyDescent="0.2">
      <c r="A66" s="38" t="s">
        <v>151</v>
      </c>
      <c r="B66" t="s">
        <v>139</v>
      </c>
      <c r="F66" s="33" t="s">
        <v>9</v>
      </c>
      <c r="G66" t="e">
        <f t="shared" si="14"/>
        <v>#DIV/0!</v>
      </c>
    </row>
    <row r="67" spans="1:7" x14ac:dyDescent="0.2">
      <c r="A67" s="39" t="s">
        <v>152</v>
      </c>
      <c r="B67" s="3">
        <v>10000000</v>
      </c>
      <c r="C67" s="32"/>
      <c r="D67" s="32"/>
      <c r="E67" s="32"/>
      <c r="F67" s="33" t="e">
        <f t="shared" si="13"/>
        <v>#DIV/0!</v>
      </c>
      <c r="G67" t="e">
        <f t="shared" si="14"/>
        <v>#DIV/0!</v>
      </c>
    </row>
    <row r="68" spans="1:7" x14ac:dyDescent="0.2">
      <c r="A68" s="39" t="s">
        <v>152</v>
      </c>
      <c r="B68" s="3">
        <f>B67/10</f>
        <v>1000000</v>
      </c>
      <c r="C68" s="32"/>
      <c r="D68" s="32"/>
      <c r="E68" s="32"/>
      <c r="F68" s="33" t="e">
        <f t="shared" si="13"/>
        <v>#DIV/0!</v>
      </c>
      <c r="G68" t="e">
        <f t="shared" si="14"/>
        <v>#DIV/0!</v>
      </c>
    </row>
    <row r="69" spans="1:7" x14ac:dyDescent="0.2">
      <c r="A69" s="39" t="s">
        <v>152</v>
      </c>
      <c r="B69" s="3">
        <f t="shared" ref="B69:B73" si="20">B68/10</f>
        <v>100000</v>
      </c>
      <c r="C69" s="32"/>
      <c r="D69" s="32"/>
      <c r="E69" s="32"/>
      <c r="F69" s="33" t="e">
        <f t="shared" si="13"/>
        <v>#DIV/0!</v>
      </c>
      <c r="G69" t="e">
        <f t="shared" si="14"/>
        <v>#DIV/0!</v>
      </c>
    </row>
    <row r="70" spans="1:7" x14ac:dyDescent="0.2">
      <c r="A70" s="39" t="s">
        <v>152</v>
      </c>
      <c r="B70" s="3">
        <f t="shared" si="20"/>
        <v>10000</v>
      </c>
      <c r="C70" s="32"/>
      <c r="D70" s="32"/>
      <c r="E70" s="32"/>
      <c r="F70" s="33" t="e">
        <f t="shared" si="13"/>
        <v>#DIV/0!</v>
      </c>
      <c r="G70" t="e">
        <f t="shared" si="14"/>
        <v>#DIV/0!</v>
      </c>
    </row>
    <row r="71" spans="1:7" x14ac:dyDescent="0.2">
      <c r="A71" s="39" t="s">
        <v>152</v>
      </c>
      <c r="B71" s="3">
        <f t="shared" si="20"/>
        <v>1000</v>
      </c>
      <c r="C71" s="32"/>
      <c r="D71" s="32"/>
      <c r="E71" s="32"/>
      <c r="F71" s="33" t="e">
        <f t="shared" si="13"/>
        <v>#DIV/0!</v>
      </c>
      <c r="G71" t="e">
        <f t="shared" si="14"/>
        <v>#DIV/0!</v>
      </c>
    </row>
    <row r="72" spans="1:7" x14ac:dyDescent="0.2">
      <c r="A72" s="39" t="s">
        <v>152</v>
      </c>
      <c r="B72" s="3">
        <f t="shared" si="20"/>
        <v>100</v>
      </c>
      <c r="C72" s="32"/>
      <c r="D72" s="32"/>
      <c r="E72" s="32"/>
      <c r="F72" s="33" t="e">
        <f t="shared" si="13"/>
        <v>#DIV/0!</v>
      </c>
      <c r="G72" t="e">
        <f t="shared" si="14"/>
        <v>#DIV/0!</v>
      </c>
    </row>
    <row r="73" spans="1:7" x14ac:dyDescent="0.2">
      <c r="A73" s="39" t="s">
        <v>152</v>
      </c>
      <c r="B73" s="3">
        <f t="shared" si="20"/>
        <v>10</v>
      </c>
      <c r="C73" s="32"/>
      <c r="D73" s="32"/>
      <c r="E73" s="32"/>
      <c r="F73" s="33" t="e">
        <f t="shared" si="13"/>
        <v>#DIV/0!</v>
      </c>
      <c r="G73" t="e">
        <f t="shared" si="14"/>
        <v>#DIV/0!</v>
      </c>
    </row>
    <row r="74" spans="1:7" x14ac:dyDescent="0.2">
      <c r="A74" s="39" t="s">
        <v>152</v>
      </c>
      <c r="B74" t="s">
        <v>139</v>
      </c>
      <c r="C74" s="32"/>
      <c r="D74" s="32"/>
      <c r="E74" s="32"/>
      <c r="F74" s="33" t="e">
        <f t="shared" si="13"/>
        <v>#DIV/0!</v>
      </c>
      <c r="G74" t="e">
        <f t="shared" si="14"/>
        <v>#DIV/0!</v>
      </c>
    </row>
    <row r="75" spans="1:7" x14ac:dyDescent="0.2">
      <c r="A75" s="40" t="s">
        <v>153</v>
      </c>
      <c r="B75" s="3">
        <v>10000000</v>
      </c>
      <c r="C75" s="32"/>
      <c r="D75" s="32"/>
      <c r="E75" s="32"/>
      <c r="F75" s="33" t="e">
        <f t="shared" si="13"/>
        <v>#DIV/0!</v>
      </c>
      <c r="G75" t="e">
        <f t="shared" si="14"/>
        <v>#DIV/0!</v>
      </c>
    </row>
    <row r="76" spans="1:7" x14ac:dyDescent="0.2">
      <c r="A76" s="40" t="s">
        <v>153</v>
      </c>
      <c r="B76" s="3">
        <f>B75/10</f>
        <v>1000000</v>
      </c>
      <c r="C76" s="32"/>
      <c r="D76" s="32"/>
      <c r="E76" s="32"/>
      <c r="F76" s="33" t="e">
        <f t="shared" si="13"/>
        <v>#DIV/0!</v>
      </c>
      <c r="G76" t="e">
        <f t="shared" si="14"/>
        <v>#DIV/0!</v>
      </c>
    </row>
    <row r="77" spans="1:7" x14ac:dyDescent="0.2">
      <c r="A77" s="40" t="s">
        <v>153</v>
      </c>
      <c r="B77" s="3">
        <f t="shared" ref="B77:B81" si="21">B76/10</f>
        <v>100000</v>
      </c>
      <c r="C77" s="32"/>
      <c r="D77" s="32"/>
      <c r="E77" s="32"/>
      <c r="F77" s="33" t="e">
        <f t="shared" si="13"/>
        <v>#DIV/0!</v>
      </c>
      <c r="G77" t="e">
        <f t="shared" si="14"/>
        <v>#DIV/0!</v>
      </c>
    </row>
    <row r="78" spans="1:7" x14ac:dyDescent="0.2">
      <c r="A78" s="40" t="s">
        <v>153</v>
      </c>
      <c r="B78" s="3">
        <f t="shared" si="21"/>
        <v>10000</v>
      </c>
      <c r="C78" s="32"/>
      <c r="D78" s="32"/>
      <c r="E78" s="32"/>
      <c r="F78" s="33" t="e">
        <f t="shared" si="13"/>
        <v>#DIV/0!</v>
      </c>
      <c r="G78" t="e">
        <f t="shared" si="14"/>
        <v>#DIV/0!</v>
      </c>
    </row>
    <row r="79" spans="1:7" x14ac:dyDescent="0.2">
      <c r="A79" s="40" t="s">
        <v>153</v>
      </c>
      <c r="B79" s="3">
        <f t="shared" si="21"/>
        <v>1000</v>
      </c>
      <c r="C79" s="32"/>
      <c r="D79" s="32"/>
      <c r="E79" s="32"/>
      <c r="F79" s="33" t="e">
        <f t="shared" si="13"/>
        <v>#DIV/0!</v>
      </c>
      <c r="G79" t="e">
        <f t="shared" si="14"/>
        <v>#DIV/0!</v>
      </c>
    </row>
    <row r="80" spans="1:7" x14ac:dyDescent="0.2">
      <c r="A80" s="40" t="s">
        <v>153</v>
      </c>
      <c r="B80" s="3">
        <f t="shared" si="21"/>
        <v>100</v>
      </c>
      <c r="C80" s="32"/>
      <c r="D80" s="32"/>
      <c r="E80" s="32"/>
      <c r="F80" s="33" t="e">
        <f t="shared" si="13"/>
        <v>#DIV/0!</v>
      </c>
      <c r="G80" t="e">
        <f t="shared" si="14"/>
        <v>#DIV/0!</v>
      </c>
    </row>
    <row r="81" spans="1:7" x14ac:dyDescent="0.2">
      <c r="A81" s="40" t="s">
        <v>153</v>
      </c>
      <c r="B81" s="3">
        <f t="shared" si="21"/>
        <v>10</v>
      </c>
      <c r="C81" s="32"/>
      <c r="D81" s="32"/>
      <c r="E81" s="32"/>
      <c r="F81" s="33" t="e">
        <f t="shared" si="13"/>
        <v>#DIV/0!</v>
      </c>
      <c r="G81" t="e">
        <f t="shared" si="14"/>
        <v>#DIV/0!</v>
      </c>
    </row>
    <row r="82" spans="1:7" x14ac:dyDescent="0.2">
      <c r="A82" s="40" t="s">
        <v>153</v>
      </c>
      <c r="B82" t="s">
        <v>139</v>
      </c>
      <c r="C82" s="32"/>
      <c r="D82" s="32"/>
      <c r="E82" s="32"/>
      <c r="F82" s="33" t="e">
        <f t="shared" si="13"/>
        <v>#DIV/0!</v>
      </c>
      <c r="G82" t="e">
        <f t="shared" si="14"/>
        <v>#DIV/0!</v>
      </c>
    </row>
    <row r="83" spans="1:7" x14ac:dyDescent="0.2">
      <c r="A83" s="41" t="s">
        <v>154</v>
      </c>
      <c r="B83" s="3">
        <v>10000000</v>
      </c>
      <c r="C83" s="32"/>
      <c r="D83" s="32"/>
      <c r="E83" s="32"/>
      <c r="F83" s="33" t="e">
        <f t="shared" si="13"/>
        <v>#DIV/0!</v>
      </c>
      <c r="G83" t="e">
        <f t="shared" si="14"/>
        <v>#DIV/0!</v>
      </c>
    </row>
    <row r="84" spans="1:7" x14ac:dyDescent="0.2">
      <c r="A84" s="41" t="s">
        <v>154</v>
      </c>
      <c r="B84" s="3">
        <f>B83/10</f>
        <v>1000000</v>
      </c>
      <c r="C84" s="32"/>
      <c r="D84" s="32"/>
      <c r="F84" s="33" t="e">
        <f t="shared" si="13"/>
        <v>#DIV/0!</v>
      </c>
      <c r="G84" t="e">
        <f t="shared" si="14"/>
        <v>#DIV/0!</v>
      </c>
    </row>
    <row r="85" spans="1:7" x14ac:dyDescent="0.2">
      <c r="A85" s="41" t="s">
        <v>154</v>
      </c>
      <c r="B85" s="3">
        <f t="shared" ref="B85:B89" si="22">B84/10</f>
        <v>100000</v>
      </c>
      <c r="C85" s="32"/>
      <c r="D85" s="32"/>
      <c r="F85" s="33" t="e">
        <f t="shared" si="13"/>
        <v>#DIV/0!</v>
      </c>
      <c r="G85" t="e">
        <f t="shared" si="14"/>
        <v>#DIV/0!</v>
      </c>
    </row>
    <row r="86" spans="1:7" x14ac:dyDescent="0.2">
      <c r="A86" s="41" t="s">
        <v>154</v>
      </c>
      <c r="B86" s="3">
        <f t="shared" si="22"/>
        <v>10000</v>
      </c>
      <c r="C86" s="32"/>
      <c r="D86" s="32"/>
      <c r="E86" s="32"/>
      <c r="F86" s="33" t="e">
        <f t="shared" si="13"/>
        <v>#DIV/0!</v>
      </c>
      <c r="G86" t="e">
        <f t="shared" si="14"/>
        <v>#DIV/0!</v>
      </c>
    </row>
    <row r="87" spans="1:7" x14ac:dyDescent="0.2">
      <c r="A87" s="41" t="s">
        <v>154</v>
      </c>
      <c r="B87" s="3">
        <f t="shared" si="22"/>
        <v>1000</v>
      </c>
      <c r="C87" s="32"/>
      <c r="D87" s="32"/>
      <c r="E87" s="32"/>
      <c r="F87" s="33" t="e">
        <f t="shared" si="13"/>
        <v>#DIV/0!</v>
      </c>
      <c r="G87" t="e">
        <f t="shared" si="14"/>
        <v>#DIV/0!</v>
      </c>
    </row>
    <row r="88" spans="1:7" x14ac:dyDescent="0.2">
      <c r="A88" s="41" t="s">
        <v>154</v>
      </c>
      <c r="B88" s="3">
        <f t="shared" si="22"/>
        <v>100</v>
      </c>
      <c r="C88" s="32"/>
      <c r="D88" s="32"/>
      <c r="E88" s="32"/>
      <c r="F88" s="33" t="e">
        <f t="shared" si="13"/>
        <v>#DIV/0!</v>
      </c>
      <c r="G88" t="e">
        <f t="shared" si="14"/>
        <v>#DIV/0!</v>
      </c>
    </row>
    <row r="89" spans="1:7" x14ac:dyDescent="0.2">
      <c r="A89" s="41" t="s">
        <v>154</v>
      </c>
      <c r="B89" s="3">
        <f t="shared" si="22"/>
        <v>10</v>
      </c>
      <c r="C89" s="32"/>
      <c r="D89" s="32"/>
      <c r="F89" s="33" t="e">
        <f t="shared" si="13"/>
        <v>#DIV/0!</v>
      </c>
      <c r="G89" t="e">
        <f t="shared" si="14"/>
        <v>#DIV/0!</v>
      </c>
    </row>
    <row r="90" spans="1:7" x14ac:dyDescent="0.2">
      <c r="A90" s="41" t="s">
        <v>154</v>
      </c>
      <c r="B90" t="s">
        <v>139</v>
      </c>
      <c r="C90" s="32"/>
      <c r="D90" s="32"/>
      <c r="E90" s="32"/>
      <c r="F90" s="33" t="e">
        <f t="shared" si="13"/>
        <v>#DIV/0!</v>
      </c>
      <c r="G90" t="e">
        <f t="shared" si="14"/>
        <v>#DIV/0!</v>
      </c>
    </row>
    <row r="91" spans="1:7" x14ac:dyDescent="0.2">
      <c r="A91" s="42" t="s">
        <v>40</v>
      </c>
      <c r="B91" s="3">
        <v>10000000</v>
      </c>
      <c r="C91" s="32"/>
      <c r="D91" s="32"/>
      <c r="E91" s="32"/>
      <c r="F91" s="33" t="e">
        <f t="shared" si="13"/>
        <v>#DIV/0!</v>
      </c>
      <c r="G91" t="e">
        <f t="shared" si="14"/>
        <v>#DIV/0!</v>
      </c>
    </row>
    <row r="92" spans="1:7" x14ac:dyDescent="0.2">
      <c r="A92" s="42" t="s">
        <v>40</v>
      </c>
      <c r="B92" s="3">
        <f>B91/10</f>
        <v>1000000</v>
      </c>
      <c r="C92" s="32"/>
      <c r="D92" s="32"/>
      <c r="E92" s="32"/>
      <c r="F92" s="33" t="e">
        <f t="shared" ref="F92:F106" si="23">AVERAGE(C92:E92)</f>
        <v>#DIV/0!</v>
      </c>
      <c r="G92" t="e">
        <f t="shared" ref="G92:G106" si="24">STDEV(C92:E92)</f>
        <v>#DIV/0!</v>
      </c>
    </row>
    <row r="93" spans="1:7" x14ac:dyDescent="0.2">
      <c r="A93" s="42" t="s">
        <v>40</v>
      </c>
      <c r="B93" s="3">
        <f t="shared" ref="B93:B97" si="25">B92/10</f>
        <v>100000</v>
      </c>
      <c r="C93" s="32"/>
      <c r="D93" s="32"/>
      <c r="E93" s="32"/>
      <c r="F93" s="33" t="e">
        <f t="shared" si="23"/>
        <v>#DIV/0!</v>
      </c>
      <c r="G93" t="e">
        <f t="shared" si="24"/>
        <v>#DIV/0!</v>
      </c>
    </row>
    <row r="94" spans="1:7" x14ac:dyDescent="0.2">
      <c r="A94" s="42" t="s">
        <v>40</v>
      </c>
      <c r="B94" s="3">
        <f t="shared" si="25"/>
        <v>10000</v>
      </c>
      <c r="C94" s="32"/>
      <c r="D94" s="32"/>
      <c r="E94" s="32"/>
      <c r="F94" s="33" t="e">
        <f t="shared" si="23"/>
        <v>#DIV/0!</v>
      </c>
      <c r="G94" t="e">
        <f t="shared" si="24"/>
        <v>#DIV/0!</v>
      </c>
    </row>
    <row r="95" spans="1:7" x14ac:dyDescent="0.2">
      <c r="A95" s="42" t="s">
        <v>40</v>
      </c>
      <c r="B95" s="3">
        <f t="shared" si="25"/>
        <v>1000</v>
      </c>
      <c r="C95" s="32"/>
      <c r="D95" s="32"/>
      <c r="F95" s="33" t="e">
        <f t="shared" si="23"/>
        <v>#DIV/0!</v>
      </c>
      <c r="G95" t="e">
        <f t="shared" si="24"/>
        <v>#DIV/0!</v>
      </c>
    </row>
    <row r="96" spans="1:7" x14ac:dyDescent="0.2">
      <c r="A96" s="42" t="s">
        <v>40</v>
      </c>
      <c r="B96" s="3">
        <f t="shared" si="25"/>
        <v>100</v>
      </c>
      <c r="C96" s="32"/>
      <c r="D96" s="32"/>
      <c r="E96" s="32"/>
      <c r="F96" s="33" t="e">
        <f t="shared" si="23"/>
        <v>#DIV/0!</v>
      </c>
      <c r="G96" t="e">
        <f t="shared" si="24"/>
        <v>#DIV/0!</v>
      </c>
    </row>
    <row r="97" spans="1:7" x14ac:dyDescent="0.2">
      <c r="A97" s="42" t="s">
        <v>40</v>
      </c>
      <c r="B97" s="3">
        <f t="shared" si="25"/>
        <v>10</v>
      </c>
      <c r="C97" s="32"/>
      <c r="D97" s="32"/>
      <c r="E97" s="32"/>
      <c r="F97" s="33" t="e">
        <f t="shared" si="23"/>
        <v>#DIV/0!</v>
      </c>
      <c r="G97" t="e">
        <f t="shared" si="24"/>
        <v>#DIV/0!</v>
      </c>
    </row>
    <row r="98" spans="1:7" x14ac:dyDescent="0.2">
      <c r="A98" s="42" t="s">
        <v>40</v>
      </c>
      <c r="B98" t="s">
        <v>139</v>
      </c>
      <c r="C98" s="32"/>
      <c r="D98" s="32"/>
      <c r="E98" s="32"/>
      <c r="F98" s="33" t="e">
        <f t="shared" si="23"/>
        <v>#DIV/0!</v>
      </c>
      <c r="G98" t="e">
        <f t="shared" si="24"/>
        <v>#DIV/0!</v>
      </c>
    </row>
    <row r="99" spans="1:7" x14ac:dyDescent="0.2">
      <c r="A99" s="43" t="s">
        <v>140</v>
      </c>
      <c r="B99" s="3">
        <v>10000000</v>
      </c>
      <c r="C99" s="32"/>
      <c r="D99" s="32"/>
      <c r="E99" s="32"/>
      <c r="F99" s="33" t="e">
        <f t="shared" si="23"/>
        <v>#DIV/0!</v>
      </c>
      <c r="G99" t="e">
        <f t="shared" si="24"/>
        <v>#DIV/0!</v>
      </c>
    </row>
    <row r="100" spans="1:7" x14ac:dyDescent="0.2">
      <c r="A100" s="43" t="s">
        <v>140</v>
      </c>
      <c r="B100" s="3">
        <f>B99/10</f>
        <v>1000000</v>
      </c>
      <c r="C100" s="32"/>
      <c r="D100" s="32"/>
      <c r="E100" s="32"/>
      <c r="F100" s="33" t="e">
        <f t="shared" si="23"/>
        <v>#DIV/0!</v>
      </c>
      <c r="G100" t="e">
        <f t="shared" si="24"/>
        <v>#DIV/0!</v>
      </c>
    </row>
    <row r="101" spans="1:7" x14ac:dyDescent="0.2">
      <c r="A101" s="43" t="s">
        <v>140</v>
      </c>
      <c r="B101" s="3">
        <f t="shared" ref="B101:B105" si="26">B100/10</f>
        <v>100000</v>
      </c>
      <c r="C101" s="32"/>
      <c r="D101" s="32"/>
      <c r="E101" s="32"/>
      <c r="F101" s="33" t="e">
        <f t="shared" si="23"/>
        <v>#DIV/0!</v>
      </c>
      <c r="G101" t="e">
        <f t="shared" si="24"/>
        <v>#DIV/0!</v>
      </c>
    </row>
    <row r="102" spans="1:7" x14ac:dyDescent="0.2">
      <c r="A102" s="43" t="s">
        <v>140</v>
      </c>
      <c r="B102" s="3">
        <f t="shared" si="26"/>
        <v>10000</v>
      </c>
      <c r="C102" s="32"/>
      <c r="D102" s="32"/>
      <c r="E102" s="32"/>
      <c r="F102" s="33" t="e">
        <f t="shared" si="23"/>
        <v>#DIV/0!</v>
      </c>
      <c r="G102" t="e">
        <f t="shared" si="24"/>
        <v>#DIV/0!</v>
      </c>
    </row>
    <row r="103" spans="1:7" x14ac:dyDescent="0.2">
      <c r="A103" s="43" t="s">
        <v>140</v>
      </c>
      <c r="B103" s="3">
        <f t="shared" si="26"/>
        <v>1000</v>
      </c>
      <c r="C103" s="32"/>
      <c r="D103" s="32"/>
      <c r="F103" s="33" t="e">
        <f t="shared" si="23"/>
        <v>#DIV/0!</v>
      </c>
      <c r="G103" t="e">
        <f t="shared" si="24"/>
        <v>#DIV/0!</v>
      </c>
    </row>
    <row r="104" spans="1:7" x14ac:dyDescent="0.2">
      <c r="A104" s="43" t="s">
        <v>140</v>
      </c>
      <c r="B104" s="3">
        <f t="shared" si="26"/>
        <v>100</v>
      </c>
      <c r="C104" s="32"/>
      <c r="D104" s="32"/>
      <c r="E104" s="32"/>
      <c r="F104" s="33" t="e">
        <f t="shared" si="23"/>
        <v>#DIV/0!</v>
      </c>
      <c r="G104" t="e">
        <f t="shared" si="24"/>
        <v>#DIV/0!</v>
      </c>
    </row>
    <row r="105" spans="1:7" x14ac:dyDescent="0.2">
      <c r="A105" s="43" t="s">
        <v>140</v>
      </c>
      <c r="B105" s="3">
        <f t="shared" si="26"/>
        <v>10</v>
      </c>
      <c r="C105" s="32"/>
      <c r="D105" s="32"/>
      <c r="E105" s="32"/>
      <c r="F105" s="33" t="e">
        <f t="shared" si="23"/>
        <v>#DIV/0!</v>
      </c>
      <c r="G105" t="e">
        <f t="shared" si="24"/>
        <v>#DIV/0!</v>
      </c>
    </row>
    <row r="106" spans="1:7" x14ac:dyDescent="0.2">
      <c r="A106" s="43" t="s">
        <v>140</v>
      </c>
      <c r="B106" t="s">
        <v>139</v>
      </c>
      <c r="C106" s="32"/>
      <c r="D106" s="32"/>
      <c r="E106" s="32"/>
      <c r="F106" s="33" t="e">
        <f t="shared" si="23"/>
        <v>#DIV/0!</v>
      </c>
      <c r="G106" t="e">
        <f t="shared" si="24"/>
        <v>#DIV/0!</v>
      </c>
    </row>
  </sheetData>
  <conditionalFormatting sqref="C14:L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4:F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106">
    <cfRule type="cellIs" dxfId="0" priority="2" operator="greaterThan">
      <formula>0.5</formula>
    </cfRule>
  </conditionalFormatting>
  <conditionalFormatting sqref="G14:J1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:L1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41926-1204-4F4B-B3AA-F3573DE7B036}">
  <dimension ref="A1:L22"/>
  <sheetViews>
    <sheetView workbookViewId="0">
      <pane ySplit="1" topLeftCell="A2" activePane="bottomLeft" state="frozen"/>
      <selection pane="bottomLeft" activeCell="G31" sqref="G31"/>
    </sheetView>
  </sheetViews>
  <sheetFormatPr baseColWidth="10" defaultColWidth="11.1640625" defaultRowHeight="16" x14ac:dyDescent="0.2"/>
  <cols>
    <col min="1" max="1" width="33" customWidth="1"/>
    <col min="2" max="2" width="15.33203125" customWidth="1"/>
    <col min="8" max="8" width="12.33203125" customWidth="1"/>
  </cols>
  <sheetData>
    <row r="1" spans="1:12" x14ac:dyDescent="0.2">
      <c r="A1" t="s">
        <v>46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50</v>
      </c>
      <c r="H1" t="s">
        <v>95</v>
      </c>
      <c r="I1" t="s">
        <v>5</v>
      </c>
      <c r="J1" t="s">
        <v>6</v>
      </c>
      <c r="K1" t="s">
        <v>47</v>
      </c>
      <c r="L1" t="s">
        <v>150</v>
      </c>
    </row>
    <row r="2" spans="1:12" x14ac:dyDescent="0.2">
      <c r="A2" t="s">
        <v>7</v>
      </c>
      <c r="B2" t="s">
        <v>8</v>
      </c>
      <c r="C2">
        <v>37.578988080000002</v>
      </c>
      <c r="D2">
        <v>-3.6002369609999998</v>
      </c>
      <c r="E2">
        <v>1.8959999999999999</v>
      </c>
      <c r="F2">
        <v>33.725999999999999</v>
      </c>
      <c r="G2">
        <v>10</v>
      </c>
      <c r="H2" t="s">
        <v>9</v>
      </c>
      <c r="J2" t="s">
        <v>10</v>
      </c>
      <c r="K2" t="s">
        <v>48</v>
      </c>
    </row>
    <row r="3" spans="1:12" x14ac:dyDescent="0.2">
      <c r="A3" t="s">
        <v>11</v>
      </c>
      <c r="B3" t="s">
        <v>12</v>
      </c>
      <c r="C3">
        <v>40.80691092</v>
      </c>
      <c r="D3">
        <v>-3.7092473510000001</v>
      </c>
      <c r="E3">
        <v>1.86</v>
      </c>
      <c r="F3" s="12">
        <v>33.623157499999998</v>
      </c>
      <c r="G3">
        <v>100</v>
      </c>
      <c r="H3">
        <v>4</v>
      </c>
      <c r="I3">
        <f t="shared" ref="I3:I15" si="0">(G3/H3)*200</f>
        <v>5000</v>
      </c>
      <c r="J3" t="s">
        <v>13</v>
      </c>
      <c r="K3" t="s">
        <v>48</v>
      </c>
    </row>
    <row r="4" spans="1:12" x14ac:dyDescent="0.2">
      <c r="A4" t="s">
        <v>14</v>
      </c>
      <c r="B4" t="s">
        <v>15</v>
      </c>
      <c r="C4">
        <v>38.042346770000002</v>
      </c>
      <c r="D4">
        <v>-3.457288878</v>
      </c>
      <c r="E4">
        <v>1.946</v>
      </c>
      <c r="F4">
        <v>31.704000000000001</v>
      </c>
      <c r="G4">
        <v>100</v>
      </c>
      <c r="H4">
        <v>4</v>
      </c>
      <c r="I4">
        <f t="shared" si="0"/>
        <v>5000</v>
      </c>
      <c r="J4" t="s">
        <v>16</v>
      </c>
      <c r="K4" t="s">
        <v>48</v>
      </c>
    </row>
    <row r="5" spans="1:12" ht="14" customHeight="1" x14ac:dyDescent="0.2">
      <c r="A5" t="s">
        <v>17</v>
      </c>
      <c r="B5" t="s">
        <v>18</v>
      </c>
      <c r="C5">
        <v>38.235871179999997</v>
      </c>
      <c r="D5">
        <v>-3.4064692089999999</v>
      </c>
      <c r="E5">
        <v>1.966</v>
      </c>
      <c r="F5">
        <v>31.256</v>
      </c>
      <c r="G5">
        <v>100</v>
      </c>
      <c r="H5">
        <v>4</v>
      </c>
      <c r="I5">
        <f t="shared" si="0"/>
        <v>5000</v>
      </c>
      <c r="J5" t="s">
        <v>19</v>
      </c>
      <c r="K5" t="s">
        <v>48</v>
      </c>
    </row>
    <row r="6" spans="1:12" x14ac:dyDescent="0.2">
      <c r="A6" t="s">
        <v>20</v>
      </c>
      <c r="B6" t="s">
        <v>21</v>
      </c>
      <c r="C6">
        <v>36.771426339999998</v>
      </c>
      <c r="D6">
        <v>-3.2054554049999999</v>
      </c>
      <c r="E6">
        <v>2.0510000000000002</v>
      </c>
      <c r="F6">
        <v>30.751999999999999</v>
      </c>
      <c r="G6">
        <v>100</v>
      </c>
      <c r="H6">
        <v>2</v>
      </c>
      <c r="I6">
        <f t="shared" si="0"/>
        <v>10000</v>
      </c>
      <c r="J6" t="s">
        <v>22</v>
      </c>
      <c r="K6" t="s">
        <v>48</v>
      </c>
    </row>
    <row r="7" spans="1:12" x14ac:dyDescent="0.2">
      <c r="A7" t="s">
        <v>23</v>
      </c>
      <c r="B7" t="s">
        <v>24</v>
      </c>
      <c r="C7">
        <v>37.334846499999998</v>
      </c>
      <c r="D7">
        <v>-3.3177785869999998</v>
      </c>
      <c r="E7">
        <v>2.0019999999999998</v>
      </c>
      <c r="F7">
        <v>30.864999999999998</v>
      </c>
      <c r="G7">
        <v>100</v>
      </c>
      <c r="H7">
        <v>2</v>
      </c>
      <c r="I7">
        <f t="shared" si="0"/>
        <v>10000</v>
      </c>
      <c r="J7" t="s">
        <v>25</v>
      </c>
      <c r="K7" t="s">
        <v>48</v>
      </c>
    </row>
    <row r="8" spans="1:12" x14ac:dyDescent="0.2">
      <c r="A8" t="s">
        <v>26</v>
      </c>
      <c r="B8" t="s">
        <v>27</v>
      </c>
      <c r="C8">
        <v>38.983155930000002</v>
      </c>
      <c r="D8">
        <v>-3.452953645</v>
      </c>
      <c r="E8">
        <v>1.948</v>
      </c>
      <c r="F8">
        <v>34.905999999999999</v>
      </c>
      <c r="G8">
        <v>10</v>
      </c>
      <c r="H8">
        <v>2</v>
      </c>
      <c r="I8">
        <f t="shared" si="0"/>
        <v>1000</v>
      </c>
      <c r="J8" t="s">
        <v>28</v>
      </c>
      <c r="K8" t="s">
        <v>48</v>
      </c>
    </row>
    <row r="9" spans="1:12" x14ac:dyDescent="0.2">
      <c r="A9" t="s">
        <v>29</v>
      </c>
      <c r="B9" t="s">
        <v>30</v>
      </c>
      <c r="C9">
        <v>37.19563316</v>
      </c>
      <c r="D9">
        <v>-3.5536580770000001</v>
      </c>
      <c r="E9">
        <v>1.9119999999999999</v>
      </c>
      <c r="F9">
        <v>29.966000000000001</v>
      </c>
      <c r="G9">
        <v>100</v>
      </c>
      <c r="H9">
        <v>4</v>
      </c>
      <c r="I9">
        <f t="shared" si="0"/>
        <v>5000</v>
      </c>
      <c r="J9" t="s">
        <v>31</v>
      </c>
      <c r="K9" t="s">
        <v>48</v>
      </c>
    </row>
    <row r="10" spans="1:12" x14ac:dyDescent="0.2">
      <c r="A10" t="s">
        <v>32</v>
      </c>
      <c r="B10" t="s">
        <v>33</v>
      </c>
      <c r="C10">
        <v>36.306452870000001</v>
      </c>
      <c r="D10">
        <v>-3.0196224759999999</v>
      </c>
      <c r="E10">
        <v>2.1440000000000001</v>
      </c>
      <c r="F10">
        <v>29.94</v>
      </c>
      <c r="G10">
        <v>100</v>
      </c>
      <c r="H10">
        <v>4</v>
      </c>
      <c r="I10">
        <f t="shared" si="0"/>
        <v>5000</v>
      </c>
      <c r="J10" t="s">
        <v>34</v>
      </c>
      <c r="K10" t="s">
        <v>48</v>
      </c>
    </row>
    <row r="11" spans="1:12" x14ac:dyDescent="0.2">
      <c r="A11" t="s">
        <v>100</v>
      </c>
      <c r="B11" t="s">
        <v>99</v>
      </c>
      <c r="C11">
        <v>37.049705000000003</v>
      </c>
      <c r="D11">
        <v>-3.2232192999999998</v>
      </c>
      <c r="E11">
        <v>2.0430000000000001</v>
      </c>
      <c r="F11">
        <v>30.957999999999998</v>
      </c>
      <c r="G11">
        <v>100</v>
      </c>
      <c r="H11" s="4">
        <v>7</v>
      </c>
      <c r="I11" s="21">
        <f t="shared" si="0"/>
        <v>2857.1428571428573</v>
      </c>
      <c r="J11" t="s">
        <v>121</v>
      </c>
      <c r="K11" t="s">
        <v>48</v>
      </c>
      <c r="L11" t="s">
        <v>107</v>
      </c>
    </row>
    <row r="12" spans="1:12" x14ac:dyDescent="0.2">
      <c r="A12" t="s">
        <v>35</v>
      </c>
      <c r="B12" t="s">
        <v>36</v>
      </c>
      <c r="C12">
        <v>40.226594380000002</v>
      </c>
      <c r="D12">
        <v>-3.6687225950000002</v>
      </c>
      <c r="E12">
        <v>1.873</v>
      </c>
      <c r="F12" s="15">
        <v>33.3887939453125</v>
      </c>
      <c r="G12">
        <v>100</v>
      </c>
      <c r="H12" s="22" t="s">
        <v>128</v>
      </c>
      <c r="I12" t="e">
        <f t="shared" si="0"/>
        <v>#VALUE!</v>
      </c>
      <c r="J12" t="s">
        <v>37</v>
      </c>
      <c r="K12" t="s">
        <v>48</v>
      </c>
    </row>
    <row r="13" spans="1:12" x14ac:dyDescent="0.2">
      <c r="A13" t="s">
        <v>39</v>
      </c>
      <c r="B13" t="s">
        <v>40</v>
      </c>
      <c r="C13">
        <v>37.985864100000001</v>
      </c>
      <c r="D13">
        <v>-3.4573333000000002</v>
      </c>
      <c r="E13">
        <v>1.946</v>
      </c>
      <c r="F13">
        <v>33.545999999999999</v>
      </c>
      <c r="G13">
        <v>10</v>
      </c>
      <c r="H13" t="s">
        <v>9</v>
      </c>
      <c r="J13" t="s">
        <v>41</v>
      </c>
      <c r="K13" t="s">
        <v>48</v>
      </c>
      <c r="L13" t="s">
        <v>101</v>
      </c>
    </row>
    <row r="14" spans="1:12" s="16" customFormat="1" x14ac:dyDescent="0.2">
      <c r="A14" t="s">
        <v>97</v>
      </c>
      <c r="B14" t="s">
        <v>92</v>
      </c>
      <c r="C14">
        <v>40.946567399999999</v>
      </c>
      <c r="D14">
        <v>-3.4355373999999999</v>
      </c>
      <c r="E14">
        <v>1.9550000000000001</v>
      </c>
      <c r="F14">
        <v>33.286999999999999</v>
      </c>
      <c r="G14">
        <v>100</v>
      </c>
      <c r="H14" s="22" t="s">
        <v>127</v>
      </c>
      <c r="I14" t="e">
        <f t="shared" si="0"/>
        <v>#VALUE!</v>
      </c>
      <c r="J14" t="s">
        <v>94</v>
      </c>
      <c r="K14" s="17" t="s">
        <v>48</v>
      </c>
    </row>
    <row r="15" spans="1:12" x14ac:dyDescent="0.2">
      <c r="A15" t="s">
        <v>96</v>
      </c>
      <c r="B15" t="s">
        <v>93</v>
      </c>
      <c r="C15">
        <v>36.115917400000001</v>
      </c>
      <c r="D15">
        <v>-3.1549790999999998</v>
      </c>
      <c r="E15">
        <v>2.0750000000000002</v>
      </c>
      <c r="F15" s="15">
        <v>29.693664600000002</v>
      </c>
      <c r="G15">
        <v>100</v>
      </c>
      <c r="H15">
        <v>2</v>
      </c>
      <c r="I15">
        <f t="shared" si="0"/>
        <v>10000</v>
      </c>
      <c r="J15" t="s">
        <v>38</v>
      </c>
      <c r="K15" t="s">
        <v>48</v>
      </c>
    </row>
    <row r="16" spans="1:12" ht="15" customHeight="1" x14ac:dyDescent="0.2">
      <c r="A16" t="s">
        <v>112</v>
      </c>
      <c r="B16" t="s">
        <v>102</v>
      </c>
      <c r="C16">
        <v>21.482322700000001</v>
      </c>
      <c r="D16">
        <v>-3.2522329999999999</v>
      </c>
      <c r="E16">
        <v>2.0299999999999998</v>
      </c>
      <c r="F16" s="15">
        <v>31.091000000000001</v>
      </c>
      <c r="H16" t="s">
        <v>9</v>
      </c>
      <c r="J16" t="s">
        <v>108</v>
      </c>
      <c r="K16" t="s">
        <v>48</v>
      </c>
    </row>
    <row r="17" spans="1:11" x14ac:dyDescent="0.2">
      <c r="A17" t="s">
        <v>42</v>
      </c>
      <c r="B17" t="s">
        <v>44</v>
      </c>
      <c r="C17">
        <v>40.80519322</v>
      </c>
      <c r="D17">
        <v>-3.6099374630000001</v>
      </c>
      <c r="E17">
        <v>1.8919999999999999</v>
      </c>
      <c r="F17">
        <v>33.735999999999997</v>
      </c>
      <c r="G17">
        <v>100</v>
      </c>
      <c r="H17" t="s">
        <v>9</v>
      </c>
      <c r="J17" t="s">
        <v>43</v>
      </c>
      <c r="K17" t="s">
        <v>49</v>
      </c>
    </row>
    <row r="18" spans="1:11" x14ac:dyDescent="0.2">
      <c r="A18" t="s">
        <v>7</v>
      </c>
      <c r="B18" t="s">
        <v>45</v>
      </c>
      <c r="C18">
        <v>37.578988080000002</v>
      </c>
      <c r="D18">
        <v>-3.6002369609999998</v>
      </c>
      <c r="E18">
        <v>1.8959999999999999</v>
      </c>
      <c r="F18">
        <v>33.725999999999999</v>
      </c>
      <c r="G18">
        <v>10</v>
      </c>
      <c r="H18" t="s">
        <v>9</v>
      </c>
      <c r="J18" t="s">
        <v>10</v>
      </c>
      <c r="K18" t="s">
        <v>49</v>
      </c>
    </row>
    <row r="20" spans="1:11" x14ac:dyDescent="0.2">
      <c r="A20" t="s">
        <v>51</v>
      </c>
    </row>
    <row r="21" spans="1:11" x14ac:dyDescent="0.2">
      <c r="A21" t="s">
        <v>91</v>
      </c>
    </row>
    <row r="22" spans="1:11" x14ac:dyDescent="0.2">
      <c r="A22" t="s">
        <v>52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"/>
  <sheetViews>
    <sheetView workbookViewId="0">
      <selection activeCell="G27" sqref="G27"/>
    </sheetView>
  </sheetViews>
  <sheetFormatPr baseColWidth="10" defaultColWidth="11.1640625" defaultRowHeight="16" x14ac:dyDescent="0.2"/>
  <cols>
    <col min="26" max="26" width="16.5" customWidth="1"/>
  </cols>
  <sheetData>
    <row r="1" spans="1:26" ht="21" x14ac:dyDescent="0.25">
      <c r="C1" s="1" t="s">
        <v>8</v>
      </c>
      <c r="D1" s="1" t="s">
        <v>53</v>
      </c>
      <c r="E1" s="1" t="s">
        <v>15</v>
      </c>
      <c r="F1" s="1" t="s">
        <v>54</v>
      </c>
      <c r="G1" s="1" t="s">
        <v>55</v>
      </c>
      <c r="H1" s="1" t="s">
        <v>24</v>
      </c>
      <c r="I1" s="1" t="s">
        <v>56</v>
      </c>
      <c r="J1" s="1" t="s">
        <v>30</v>
      </c>
      <c r="K1" s="1" t="s">
        <v>33</v>
      </c>
      <c r="L1" s="1" t="s">
        <v>36</v>
      </c>
      <c r="M1" s="1" t="s">
        <v>57</v>
      </c>
      <c r="N1" s="1" t="s">
        <v>58</v>
      </c>
      <c r="O1" s="1" t="s">
        <v>59</v>
      </c>
      <c r="P1" s="1" t="s">
        <v>88</v>
      </c>
      <c r="Q1" s="1" t="s">
        <v>60</v>
      </c>
      <c r="R1" s="1" t="s">
        <v>99</v>
      </c>
      <c r="S1" s="1" t="s">
        <v>99</v>
      </c>
      <c r="T1" s="1"/>
      <c r="W1" s="1" t="s">
        <v>103</v>
      </c>
      <c r="X1" s="1" t="s">
        <v>104</v>
      </c>
      <c r="Y1" s="1" t="s">
        <v>105</v>
      </c>
      <c r="Z1" s="1" t="s">
        <v>106</v>
      </c>
    </row>
    <row r="2" spans="1:26" x14ac:dyDescent="0.2">
      <c r="A2" t="s">
        <v>87</v>
      </c>
      <c r="B2" s="2">
        <v>10000000</v>
      </c>
      <c r="C2" s="3">
        <v>12.418514251708984</v>
      </c>
      <c r="D2">
        <v>15.497710227966309</v>
      </c>
      <c r="E2">
        <v>14.38898754119873</v>
      </c>
      <c r="F2" s="3">
        <v>14.373387336730957</v>
      </c>
      <c r="G2">
        <v>14.178462028503418</v>
      </c>
      <c r="H2">
        <v>14.517102241516113</v>
      </c>
      <c r="I2">
        <v>14.452145576477051</v>
      </c>
      <c r="J2" s="3">
        <v>12.408526420593262</v>
      </c>
      <c r="K2" s="3">
        <v>14.916900634765625</v>
      </c>
      <c r="L2">
        <v>14.941632270812988</v>
      </c>
      <c r="M2">
        <v>14.275409698486328</v>
      </c>
      <c r="N2">
        <v>14.826518058776855</v>
      </c>
      <c r="O2">
        <v>15.306087493896484</v>
      </c>
      <c r="P2">
        <v>13.208436012268066</v>
      </c>
      <c r="Q2">
        <v>16.49470329284668</v>
      </c>
      <c r="R2">
        <v>14.3546142578125</v>
      </c>
      <c r="S2">
        <v>13.050320625305176</v>
      </c>
      <c r="U2" s="4" t="s">
        <v>113</v>
      </c>
      <c r="V2" s="2">
        <f>(60/200)*1000</f>
        <v>300</v>
      </c>
      <c r="W2">
        <v>13.583495140075684</v>
      </c>
      <c r="X2">
        <v>12.639938354492188</v>
      </c>
      <c r="Y2">
        <v>12.849903106689453</v>
      </c>
      <c r="Z2">
        <v>17.914646148681641</v>
      </c>
    </row>
    <row r="3" spans="1:26" x14ac:dyDescent="0.2">
      <c r="B3" s="2">
        <v>1000000</v>
      </c>
      <c r="C3" s="3">
        <v>15.885754585266113</v>
      </c>
      <c r="D3">
        <v>18.170415878295898</v>
      </c>
      <c r="E3">
        <v>17.014787673950195</v>
      </c>
      <c r="F3" s="3">
        <v>17.830232620239258</v>
      </c>
      <c r="G3">
        <v>17.374490737915039</v>
      </c>
      <c r="H3">
        <v>17.144126892089844</v>
      </c>
      <c r="I3">
        <v>18.409021377563477</v>
      </c>
      <c r="J3" s="3">
        <v>15.719149589538574</v>
      </c>
      <c r="K3" s="3">
        <v>18.390342712402344</v>
      </c>
      <c r="L3">
        <v>17.86878776550293</v>
      </c>
      <c r="M3">
        <v>16.828344345092773</v>
      </c>
      <c r="N3">
        <v>18.190223693847656</v>
      </c>
      <c r="O3">
        <v>19.028074264526367</v>
      </c>
      <c r="P3">
        <v>17.027725219726562</v>
      </c>
      <c r="Q3">
        <v>20.270498275756836</v>
      </c>
      <c r="R3">
        <v>17.535833358764648</v>
      </c>
      <c r="S3">
        <v>16.408777236938477</v>
      </c>
      <c r="V3" s="2">
        <f>V2/5</f>
        <v>60</v>
      </c>
      <c r="W3">
        <v>15.666468620300293</v>
      </c>
      <c r="X3">
        <v>14.966275215148926</v>
      </c>
      <c r="Y3">
        <v>15.101128578186035</v>
      </c>
      <c r="Z3">
        <v>20.042333602905273</v>
      </c>
    </row>
    <row r="4" spans="1:26" x14ac:dyDescent="0.2">
      <c r="B4" s="2">
        <v>100000</v>
      </c>
      <c r="C4" s="3">
        <v>19.452116012573242</v>
      </c>
      <c r="D4">
        <v>21.658166885375977</v>
      </c>
      <c r="E4">
        <v>20.579139709472656</v>
      </c>
      <c r="F4" s="3">
        <v>21.029718399047852</v>
      </c>
      <c r="G4">
        <v>20.889699935913086</v>
      </c>
      <c r="H4">
        <v>20.521795272827148</v>
      </c>
      <c r="I4">
        <v>21.804967880249023</v>
      </c>
      <c r="J4" s="3">
        <v>19.221475601196289</v>
      </c>
      <c r="K4" s="3">
        <v>21.25727653503418</v>
      </c>
      <c r="L4">
        <v>21.475090026855469</v>
      </c>
      <c r="M4">
        <v>20.359552383422852</v>
      </c>
      <c r="N4">
        <v>21.773374557495117</v>
      </c>
      <c r="O4">
        <v>22.796503067016602</v>
      </c>
      <c r="P4">
        <v>21.102073669433594</v>
      </c>
      <c r="Q4">
        <v>24.030929565429688</v>
      </c>
      <c r="R4">
        <v>20.961931228637695</v>
      </c>
      <c r="S4">
        <v>19.912933349609375</v>
      </c>
      <c r="V4" s="2">
        <f t="shared" ref="V4:V8" si="0">V3/5</f>
        <v>12</v>
      </c>
      <c r="W4">
        <v>17.907413482666016</v>
      </c>
      <c r="X4">
        <v>17.432554244995117</v>
      </c>
      <c r="Y4">
        <v>17.498346328735352</v>
      </c>
      <c r="Z4">
        <v>22.216581344604492</v>
      </c>
    </row>
    <row r="5" spans="1:26" x14ac:dyDescent="0.2">
      <c r="B5" s="2">
        <v>10000</v>
      </c>
      <c r="C5" s="3">
        <v>23.231637954711914</v>
      </c>
      <c r="D5">
        <v>25.787788391113281</v>
      </c>
      <c r="E5">
        <v>23.804098129272461</v>
      </c>
      <c r="F5" s="3">
        <v>24.759984970092773</v>
      </c>
      <c r="G5">
        <v>23.830768585205078</v>
      </c>
      <c r="H5">
        <v>23.903297424316406</v>
      </c>
      <c r="I5">
        <v>25.016582489013672</v>
      </c>
      <c r="J5" s="3">
        <v>23.38001823425293</v>
      </c>
      <c r="K5" s="3">
        <v>24.207056045532227</v>
      </c>
      <c r="L5">
        <v>25.82237434387207</v>
      </c>
      <c r="M5">
        <v>23.442359924316406</v>
      </c>
      <c r="N5">
        <v>25.236368179321289</v>
      </c>
      <c r="O5">
        <v>26.852651596069336</v>
      </c>
      <c r="P5">
        <v>24.60517692565918</v>
      </c>
      <c r="Q5">
        <v>27.692502975463867</v>
      </c>
      <c r="R5">
        <v>24.281425476074219</v>
      </c>
      <c r="S5">
        <v>23.177312850952148</v>
      </c>
      <c r="V5" s="2">
        <f t="shared" si="0"/>
        <v>2.4</v>
      </c>
      <c r="W5">
        <v>20.112133026123047</v>
      </c>
      <c r="X5">
        <v>19.867654800415039</v>
      </c>
      <c r="Y5">
        <v>19.88960075378418</v>
      </c>
      <c r="Z5">
        <v>24.42512321472168</v>
      </c>
    </row>
    <row r="6" spans="1:26" x14ac:dyDescent="0.2">
      <c r="B6" s="2">
        <v>1000</v>
      </c>
      <c r="C6" s="3">
        <v>26.95652961730957</v>
      </c>
      <c r="D6">
        <v>30.025947570800781</v>
      </c>
      <c r="E6">
        <v>27.415943145751953</v>
      </c>
      <c r="F6" s="3">
        <v>28.191192626953125</v>
      </c>
      <c r="G6">
        <v>27.721466064453125</v>
      </c>
      <c r="H6">
        <v>27.477518081665039</v>
      </c>
      <c r="I6">
        <v>29.276849746704102</v>
      </c>
      <c r="J6" s="3">
        <v>26.529867172241211</v>
      </c>
      <c r="K6" s="3">
        <v>27.597066879272461</v>
      </c>
      <c r="L6">
        <v>29.055770874023438</v>
      </c>
      <c r="M6">
        <v>26.911739349365234</v>
      </c>
      <c r="N6">
        <v>28.590633392333984</v>
      </c>
      <c r="O6">
        <v>30.069725036621094</v>
      </c>
      <c r="P6">
        <v>28.262414932250977</v>
      </c>
      <c r="Q6">
        <v>31.144523620605469</v>
      </c>
      <c r="R6">
        <v>27.793228149414062</v>
      </c>
      <c r="S6">
        <v>26.947755813598633</v>
      </c>
      <c r="V6" s="2">
        <f t="shared" si="0"/>
        <v>0.48</v>
      </c>
      <c r="W6">
        <v>22.46287727355957</v>
      </c>
      <c r="X6">
        <v>22.320096969604492</v>
      </c>
      <c r="Y6">
        <v>22.259252548217773</v>
      </c>
      <c r="Z6">
        <v>26.71697998046875</v>
      </c>
    </row>
    <row r="7" spans="1:26" x14ac:dyDescent="0.2">
      <c r="B7" s="2">
        <v>100</v>
      </c>
      <c r="C7" s="3">
        <v>30.57591438293457</v>
      </c>
      <c r="D7" s="4">
        <v>33.623157501220703</v>
      </c>
      <c r="E7" s="4">
        <v>31.704324722290039</v>
      </c>
      <c r="F7" s="2">
        <v>31.25604248046875</v>
      </c>
      <c r="G7" s="4">
        <v>30.751684188842773</v>
      </c>
      <c r="H7" s="4">
        <v>30.865217208862305</v>
      </c>
      <c r="I7">
        <v>32.33416748046875</v>
      </c>
      <c r="J7" s="2">
        <v>29.965993881225586</v>
      </c>
      <c r="K7" s="2">
        <v>29.940267562866211</v>
      </c>
      <c r="L7" s="4">
        <v>33.3887939453125</v>
      </c>
      <c r="M7" s="4">
        <v>29.69366455078125</v>
      </c>
      <c r="N7">
        <v>32.196659088134766</v>
      </c>
      <c r="O7" s="4">
        <v>33.735748291015625</v>
      </c>
      <c r="P7">
        <v>31.343923568725586</v>
      </c>
      <c r="Q7" s="4">
        <v>33.286735534667997</v>
      </c>
      <c r="R7" s="4">
        <v>30.957937240600586</v>
      </c>
      <c r="S7">
        <v>29.865373611450195</v>
      </c>
      <c r="T7" s="4"/>
      <c r="V7" s="2">
        <f t="shared" si="0"/>
        <v>9.6000000000000002E-2</v>
      </c>
      <c r="W7">
        <v>24.78643798828125</v>
      </c>
      <c r="X7">
        <v>24.625732421875</v>
      </c>
      <c r="Y7">
        <v>24.545181274414062</v>
      </c>
      <c r="Z7">
        <v>28.635919570922852</v>
      </c>
    </row>
    <row r="8" spans="1:26" x14ac:dyDescent="0.2">
      <c r="B8" s="2">
        <v>10</v>
      </c>
      <c r="C8" s="2">
        <v>33.725814819335938</v>
      </c>
      <c r="D8">
        <v>37.026264190673828</v>
      </c>
      <c r="E8" s="5" t="s">
        <v>9</v>
      </c>
      <c r="F8" s="3"/>
      <c r="G8">
        <v>32.900661468505859</v>
      </c>
      <c r="H8" s="5" t="s">
        <v>9</v>
      </c>
      <c r="I8" s="4">
        <v>34.905654907226562</v>
      </c>
      <c r="J8" s="3"/>
      <c r="K8" s="3"/>
      <c r="L8">
        <v>36.309478759765625</v>
      </c>
      <c r="M8" s="5" t="s">
        <v>9</v>
      </c>
      <c r="N8" s="4">
        <v>37.245189666748047</v>
      </c>
      <c r="O8">
        <v>36.769313812255859</v>
      </c>
      <c r="P8">
        <v>33.545967102050781</v>
      </c>
      <c r="R8">
        <v>33.212825775146484</v>
      </c>
      <c r="S8" s="4">
        <v>32.940578460693359</v>
      </c>
      <c r="V8" s="2">
        <f t="shared" si="0"/>
        <v>1.9200000000000002E-2</v>
      </c>
      <c r="W8">
        <v>27.201684951782227</v>
      </c>
      <c r="X8">
        <v>26.931413650512695</v>
      </c>
      <c r="Y8">
        <v>26.888288497924805</v>
      </c>
      <c r="Z8">
        <v>30.346303939819336</v>
      </c>
    </row>
    <row r="9" spans="1:26" x14ac:dyDescent="0.2">
      <c r="A9" s="6" t="s">
        <v>61</v>
      </c>
      <c r="C9" s="7">
        <f>C8</f>
        <v>33.725814819335938</v>
      </c>
      <c r="D9" s="7">
        <f>D8</f>
        <v>37.026264190673828</v>
      </c>
      <c r="E9" s="7">
        <f>E7</f>
        <v>31.704324722290039</v>
      </c>
      <c r="F9" s="7">
        <f>F7</f>
        <v>31.25604248046875</v>
      </c>
      <c r="G9" s="7">
        <f t="shared" ref="G9:H9" si="1">G7</f>
        <v>30.751684188842773</v>
      </c>
      <c r="H9" s="7">
        <f t="shared" si="1"/>
        <v>30.865217208862305</v>
      </c>
      <c r="I9" s="7">
        <f>I8</f>
        <v>34.905654907226562</v>
      </c>
      <c r="J9" s="7">
        <f t="shared" ref="J9:K9" si="2">J7</f>
        <v>29.965993881225586</v>
      </c>
      <c r="K9" s="7">
        <f t="shared" si="2"/>
        <v>29.940267562866211</v>
      </c>
      <c r="L9" s="7">
        <f>L8</f>
        <v>36.309478759765625</v>
      </c>
      <c r="M9" s="7">
        <f>M7</f>
        <v>29.69366455078125</v>
      </c>
      <c r="N9" s="7">
        <f>N8</f>
        <v>37.245189666748047</v>
      </c>
      <c r="O9" s="7">
        <f>O7</f>
        <v>33.735748291015625</v>
      </c>
      <c r="P9" s="13">
        <f>P8</f>
        <v>33.545967102050781</v>
      </c>
      <c r="Q9" s="22">
        <v>33.286735534667997</v>
      </c>
      <c r="R9" s="22">
        <f>R7</f>
        <v>30.957937240600586</v>
      </c>
      <c r="S9" s="22">
        <f>S8</f>
        <v>32.940578460693359</v>
      </c>
      <c r="T9" s="22"/>
      <c r="U9" s="6" t="s">
        <v>61</v>
      </c>
    </row>
    <row r="10" spans="1:26" x14ac:dyDescent="0.2">
      <c r="A10" s="2" t="s">
        <v>62</v>
      </c>
      <c r="C10" s="8">
        <v>35.556510925292969</v>
      </c>
      <c r="D10" s="8">
        <v>38.549639999999997</v>
      </c>
      <c r="E10" s="8" t="s">
        <v>9</v>
      </c>
      <c r="F10" s="8" t="s">
        <v>9</v>
      </c>
      <c r="G10" s="8" t="s">
        <v>9</v>
      </c>
      <c r="H10" s="8" t="s">
        <v>9</v>
      </c>
      <c r="I10" s="8" t="s">
        <v>9</v>
      </c>
      <c r="J10" s="8">
        <v>36.29157</v>
      </c>
      <c r="K10" s="8" t="s">
        <v>9</v>
      </c>
      <c r="L10" s="9">
        <v>37.823951721191406</v>
      </c>
      <c r="M10" s="9">
        <v>33.907123565673828</v>
      </c>
      <c r="N10" s="9" t="s">
        <v>9</v>
      </c>
      <c r="O10" s="9">
        <v>36.512729999999998</v>
      </c>
      <c r="P10" s="14">
        <v>33.963996889999997</v>
      </c>
      <c r="Q10" s="9">
        <v>33.580350000000003</v>
      </c>
      <c r="R10" s="9">
        <v>33.181911468505859</v>
      </c>
      <c r="S10" s="9">
        <v>34.885532379150391</v>
      </c>
      <c r="T10" s="9"/>
      <c r="U10" s="2" t="s">
        <v>62</v>
      </c>
      <c r="W10">
        <v>31.090679999999999</v>
      </c>
      <c r="X10">
        <v>30.99579</v>
      </c>
      <c r="Y10">
        <v>30.925920000000001</v>
      </c>
      <c r="Z10">
        <v>31.514679999999998</v>
      </c>
    </row>
    <row r="11" spans="1:26" x14ac:dyDescent="0.2">
      <c r="A11" s="2" t="s">
        <v>63</v>
      </c>
      <c r="C11" s="3">
        <f>INTERCEPT(C2:C8,LOG($B$2:$B$8))</f>
        <v>37.578988075256348</v>
      </c>
      <c r="D11" s="3">
        <f>INTERCEPT(D2:D8,LOG($B$2:$B$8))</f>
        <v>40.806910923549111</v>
      </c>
      <c r="E11" s="3">
        <f t="shared" ref="E11:S11" si="3">INTERCEPT(E2:E8,LOG($B$2:$B$8))</f>
        <v>38.042346772693449</v>
      </c>
      <c r="F11" s="3">
        <f t="shared" si="3"/>
        <v>38.235871178763254</v>
      </c>
      <c r="G11" s="3">
        <f t="shared" si="3"/>
        <v>36.771426337105886</v>
      </c>
      <c r="H11" s="3">
        <f t="shared" si="3"/>
        <v>37.334846496582031</v>
      </c>
      <c r="I11" s="3">
        <f t="shared" si="3"/>
        <v>38.983155931745259</v>
      </c>
      <c r="J11" s="3">
        <f t="shared" si="3"/>
        <v>37.195633161635627</v>
      </c>
      <c r="K11" s="3">
        <f t="shared" si="3"/>
        <v>36.306452869233631</v>
      </c>
      <c r="L11" s="3">
        <f t="shared" si="3"/>
        <v>40.226594379970003</v>
      </c>
      <c r="M11" s="3">
        <f t="shared" si="3"/>
        <v>36.115917441958473</v>
      </c>
      <c r="N11" s="3">
        <f t="shared" si="3"/>
        <v>40.02073015485491</v>
      </c>
      <c r="O11" s="3">
        <f t="shared" si="3"/>
        <v>40.805193219866069</v>
      </c>
      <c r="P11" s="3">
        <f t="shared" si="3"/>
        <v>37.985864094325471</v>
      </c>
      <c r="Q11" s="3">
        <f t="shared" si="3"/>
        <v>40.946567390078613</v>
      </c>
      <c r="R11" s="3">
        <f t="shared" si="3"/>
        <v>37.049704960414346</v>
      </c>
      <c r="S11" s="3">
        <f t="shared" si="3"/>
        <v>36.560262952532085</v>
      </c>
      <c r="T11" s="3"/>
      <c r="U11" s="2" t="s">
        <v>63</v>
      </c>
      <c r="V11" s="3"/>
      <c r="W11" s="3">
        <f>INTERCEPT(W2:W8,LOG($V$2:$V$8))</f>
        <v>21.482322742906554</v>
      </c>
      <c r="X11" s="3">
        <f t="shared" ref="X11:Z11" si="4">INTERCEPT(X2:X8,LOG($V$2:$V$8))</f>
        <v>21.129426196989336</v>
      </c>
      <c r="Y11" s="3">
        <f t="shared" si="4"/>
        <v>21.139279847315134</v>
      </c>
      <c r="Z11" s="3">
        <f t="shared" si="4"/>
        <v>25.474130541155549</v>
      </c>
    </row>
    <row r="12" spans="1:26" x14ac:dyDescent="0.2">
      <c r="A12" s="2" t="s">
        <v>64</v>
      </c>
      <c r="C12" s="3">
        <f>SLOPE(C2:C8,LOG($B$2:$B$8))</f>
        <v>-3.6002369608197893</v>
      </c>
      <c r="D12" s="3">
        <f>SLOPE(D2:D8,LOG($B$2:$B$8))</f>
        <v>-3.7092473506927495</v>
      </c>
      <c r="E12" s="3">
        <f t="shared" ref="E12:S12" si="5">SLOPE(E2:E8,LOG($B$2:$B$8))</f>
        <v>-3.4572888783046176</v>
      </c>
      <c r="F12" s="3">
        <f t="shared" si="5"/>
        <v>-3.4064692088535855</v>
      </c>
      <c r="G12" s="3">
        <f t="shared" si="5"/>
        <v>-3.2054554053715298</v>
      </c>
      <c r="H12" s="3">
        <f t="shared" si="5"/>
        <v>-3.3177785873413086</v>
      </c>
      <c r="I12" s="3">
        <f t="shared" si="5"/>
        <v>-3.4529536451612195</v>
      </c>
      <c r="J12" s="3">
        <f t="shared" si="5"/>
        <v>-3.5536580766950334</v>
      </c>
      <c r="K12" s="3">
        <f t="shared" si="5"/>
        <v>-3.0196224757603236</v>
      </c>
      <c r="L12" s="3">
        <f t="shared" si="5"/>
        <v>-3.6687225954873215</v>
      </c>
      <c r="M12" s="3">
        <f t="shared" si="5"/>
        <v>-3.1549790518624441</v>
      </c>
      <c r="N12" s="3">
        <f t="shared" si="5"/>
        <v>-3.6459337302616666</v>
      </c>
      <c r="O12" s="3">
        <f t="shared" si="5"/>
        <v>-3.6099374634878978</v>
      </c>
      <c r="P12" s="3">
        <f t="shared" si="5"/>
        <v>-3.4573332582201277</v>
      </c>
      <c r="Q12" s="3">
        <f t="shared" si="5"/>
        <v>-3.4355374472481905</v>
      </c>
      <c r="R12" s="3">
        <f t="shared" si="5"/>
        <v>-3.22321925844465</v>
      </c>
      <c r="S12" s="3">
        <f t="shared" si="5"/>
        <v>-3.3435281685420444</v>
      </c>
      <c r="T12" s="3"/>
      <c r="U12" s="2" t="s">
        <v>64</v>
      </c>
      <c r="V12" s="3"/>
      <c r="W12" s="3">
        <f>SLOPE(W2:W8,LOG($V$2:$V$8))</f>
        <v>-3.2522329574295181</v>
      </c>
      <c r="X12" s="3">
        <f t="shared" ref="X12:Z12" si="6">SLOPE(X2:X8,LOG($V$2:$V$8))</f>
        <v>-3.4275373871549144</v>
      </c>
      <c r="Y12" s="3">
        <f t="shared" si="6"/>
        <v>-3.3602590432902506</v>
      </c>
      <c r="Z12" s="3">
        <f t="shared" si="6"/>
        <v>-3.013747962789012</v>
      </c>
    </row>
    <row r="13" spans="1:26" x14ac:dyDescent="0.2">
      <c r="A13" s="2" t="s">
        <v>65</v>
      </c>
      <c r="C13" s="19">
        <f>(10^(-1/C12)-1)*100</f>
        <v>89.565584792458679</v>
      </c>
      <c r="D13" s="19">
        <f t="shared" ref="D13:S13" si="7">(10^(-1/D12)-1)*100</f>
        <v>86.035776843163504</v>
      </c>
      <c r="E13" s="19">
        <f t="shared" si="7"/>
        <v>94.645326847187121</v>
      </c>
      <c r="F13" s="19">
        <f t="shared" si="7"/>
        <v>96.588943940271491</v>
      </c>
      <c r="G13" s="19">
        <f t="shared" si="7"/>
        <v>105.10117682969428</v>
      </c>
      <c r="H13" s="19">
        <f t="shared" si="7"/>
        <v>100.17345741762438</v>
      </c>
      <c r="I13" s="19">
        <f t="shared" si="7"/>
        <v>94.80815417617066</v>
      </c>
      <c r="J13" s="19">
        <f t="shared" si="7"/>
        <v>91.16138732421652</v>
      </c>
      <c r="K13" s="19">
        <f t="shared" si="7"/>
        <v>114.37158863688973</v>
      </c>
      <c r="L13" s="19">
        <f t="shared" si="7"/>
        <v>87.315811490506263</v>
      </c>
      <c r="M13" s="19">
        <f t="shared" si="7"/>
        <v>107.47191485975658</v>
      </c>
      <c r="N13" s="19">
        <f t="shared" si="7"/>
        <v>88.052088639300877</v>
      </c>
      <c r="O13" s="19">
        <f t="shared" si="7"/>
        <v>89.240073905147767</v>
      </c>
      <c r="P13" s="19">
        <f t="shared" si="7"/>
        <v>94.643662793354594</v>
      </c>
      <c r="Q13" s="19">
        <f t="shared" si="7"/>
        <v>95.467821563727398</v>
      </c>
      <c r="R13" s="19">
        <f t="shared" si="7"/>
        <v>104.29080927092133</v>
      </c>
      <c r="S13" s="19">
        <f t="shared" si="7"/>
        <v>99.106419467583407</v>
      </c>
      <c r="T13" s="19"/>
      <c r="U13" s="2" t="s">
        <v>65</v>
      </c>
      <c r="V13" s="10"/>
      <c r="W13" s="19">
        <f>(10^(-1/W12)-1)*100</f>
        <v>102.99299373854622</v>
      </c>
      <c r="X13" s="19">
        <f t="shared" ref="X13:Z13" si="8">(10^(-1/X12)-1)*100</f>
        <v>95.773839625782813</v>
      </c>
      <c r="Y13" s="19">
        <f t="shared" si="8"/>
        <v>98.424869835360624</v>
      </c>
      <c r="Z13" s="19">
        <f t="shared" si="8"/>
        <v>114.69046182580146</v>
      </c>
    </row>
    <row r="14" spans="1:26" x14ac:dyDescent="0.2">
      <c r="A14" s="2" t="s">
        <v>3</v>
      </c>
      <c r="C14" s="10">
        <f>10^(-1/C12)</f>
        <v>1.8956558479245869</v>
      </c>
      <c r="D14" s="10">
        <f>10^(-1/D12)</f>
        <v>1.860357768431635</v>
      </c>
      <c r="E14" s="10">
        <f t="shared" ref="E14:Z14" si="9">10^(-1/E12)</f>
        <v>1.9464532684718712</v>
      </c>
      <c r="F14" s="10">
        <f t="shared" si="9"/>
        <v>1.9658894394027149</v>
      </c>
      <c r="G14" s="10">
        <f t="shared" si="9"/>
        <v>2.0510117682969429</v>
      </c>
      <c r="H14" s="10">
        <f t="shared" si="9"/>
        <v>2.0017345741762438</v>
      </c>
      <c r="I14" s="10">
        <f t="shared" si="9"/>
        <v>1.9480815417617066</v>
      </c>
      <c r="J14" s="10">
        <f t="shared" si="9"/>
        <v>1.9116138732421653</v>
      </c>
      <c r="K14" s="10">
        <f t="shared" si="9"/>
        <v>2.1437158863688972</v>
      </c>
      <c r="L14" s="10">
        <f t="shared" si="9"/>
        <v>1.8731581149050627</v>
      </c>
      <c r="M14" s="10">
        <f t="shared" si="9"/>
        <v>2.0747191485975658</v>
      </c>
      <c r="N14" s="10">
        <f t="shared" si="9"/>
        <v>1.8805208863930087</v>
      </c>
      <c r="O14" s="10">
        <f t="shared" si="9"/>
        <v>1.8924007390514777</v>
      </c>
      <c r="P14" s="10">
        <f t="shared" si="9"/>
        <v>1.9464366279335459</v>
      </c>
      <c r="Q14" s="10">
        <f t="shared" si="9"/>
        <v>1.954678215637274</v>
      </c>
      <c r="R14" s="10">
        <f t="shared" si="9"/>
        <v>2.0429080927092134</v>
      </c>
      <c r="S14" s="10">
        <f t="shared" si="9"/>
        <v>1.9910641946758341</v>
      </c>
      <c r="T14" s="10"/>
      <c r="U14" s="2" t="s">
        <v>3</v>
      </c>
      <c r="V14" s="10"/>
      <c r="W14" s="10">
        <f t="shared" si="9"/>
        <v>2.0299299373854622</v>
      </c>
      <c r="X14" s="10">
        <f t="shared" si="9"/>
        <v>1.9577383962578281</v>
      </c>
      <c r="Y14" s="10">
        <f t="shared" si="9"/>
        <v>1.9842486983536063</v>
      </c>
      <c r="Z14" s="10">
        <f t="shared" si="9"/>
        <v>2.1469046182580147</v>
      </c>
    </row>
    <row r="15" spans="1:26" x14ac:dyDescent="0.2">
      <c r="A15" s="11" t="s">
        <v>66</v>
      </c>
      <c r="C15" s="10">
        <f>RSQ(LOG($B$2:$B$8),C2:C8)</f>
        <v>0.99954966383127397</v>
      </c>
      <c r="D15" s="10">
        <f>RSQ(LOG($B$2:$B$8),D2:D8)</f>
        <v>0.99701976167756157</v>
      </c>
      <c r="E15" s="10">
        <f t="shared" ref="E15:S15" si="10">RSQ(LOG($B$2:$B$8),E2:E8)</f>
        <v>0.99535429739546677</v>
      </c>
      <c r="F15" s="10">
        <f t="shared" si="10"/>
        <v>0.99944638544107267</v>
      </c>
      <c r="G15" s="10">
        <f t="shared" si="10"/>
        <v>0.99652689016390406</v>
      </c>
      <c r="H15" s="10">
        <f t="shared" si="10"/>
        <v>0.99814071456399622</v>
      </c>
      <c r="I15" s="10">
        <f t="shared" si="10"/>
        <v>0.99682357576485314</v>
      </c>
      <c r="J15" s="10">
        <f t="shared" si="10"/>
        <v>0.998877744710438</v>
      </c>
      <c r="K15" s="10">
        <f t="shared" si="10"/>
        <v>0.99789801661581645</v>
      </c>
      <c r="L15" s="10">
        <f t="shared" si="10"/>
        <v>0.99773818370902756</v>
      </c>
      <c r="M15" s="10">
        <f t="shared" si="10"/>
        <v>0.99844392865898024</v>
      </c>
      <c r="N15" s="10">
        <f t="shared" si="10"/>
        <v>0.99616489541799302</v>
      </c>
      <c r="O15" s="10">
        <f t="shared" si="10"/>
        <v>0.99858101352983064</v>
      </c>
      <c r="P15" s="10">
        <f t="shared" si="10"/>
        <v>0.99346444834970993</v>
      </c>
      <c r="Q15" s="10">
        <f t="shared" si="10"/>
        <v>0.9935062167086115</v>
      </c>
      <c r="R15" s="10">
        <f t="shared" si="10"/>
        <v>0.99747129143092517</v>
      </c>
      <c r="S15" s="10">
        <f t="shared" si="10"/>
        <v>0.99912105192416323</v>
      </c>
      <c r="T15" s="10"/>
      <c r="U15" s="11" t="s">
        <v>66</v>
      </c>
      <c r="V15" s="10"/>
      <c r="W15" s="10">
        <f>RSQ(LOG($V$2:$V$8),W2:W8)</f>
        <v>0.99951851971984074</v>
      </c>
      <c r="X15" s="10">
        <f t="shared" ref="X15:Z15" si="11">RSQ(LOG($V$2:$V$8),X2:X8)</f>
        <v>0.99985794231547442</v>
      </c>
      <c r="Y15" s="10">
        <f t="shared" si="11"/>
        <v>0.999940950002564</v>
      </c>
      <c r="Z15" s="10">
        <f t="shared" si="11"/>
        <v>0.99836827855560006</v>
      </c>
    </row>
    <row r="16" spans="1:26" x14ac:dyDescent="0.2">
      <c r="A16" s="2" t="s">
        <v>67</v>
      </c>
      <c r="C16" s="5" t="s">
        <v>68</v>
      </c>
      <c r="D16" s="5" t="s">
        <v>69</v>
      </c>
      <c r="E16" s="5" t="s">
        <v>70</v>
      </c>
      <c r="F16" s="5" t="s">
        <v>68</v>
      </c>
      <c r="G16" s="5" t="s">
        <v>69</v>
      </c>
      <c r="H16" s="5" t="s">
        <v>71</v>
      </c>
      <c r="I16" s="5" t="s">
        <v>69</v>
      </c>
      <c r="J16" s="5" t="s">
        <v>68</v>
      </c>
      <c r="K16" s="5" t="s">
        <v>68</v>
      </c>
      <c r="L16" s="5" t="s">
        <v>72</v>
      </c>
      <c r="M16" s="5" t="s">
        <v>73</v>
      </c>
      <c r="N16" s="5" t="s">
        <v>74</v>
      </c>
      <c r="O16" s="5" t="s">
        <v>75</v>
      </c>
      <c r="P16" s="5" t="s">
        <v>89</v>
      </c>
      <c r="Q16" s="5" t="s">
        <v>98</v>
      </c>
      <c r="R16" s="5" t="s">
        <v>122</v>
      </c>
      <c r="S16" s="5" t="s">
        <v>123</v>
      </c>
      <c r="T16" s="5"/>
      <c r="U16" s="2" t="s">
        <v>67</v>
      </c>
      <c r="W16" t="s">
        <v>109</v>
      </c>
      <c r="X16" t="s">
        <v>110</v>
      </c>
      <c r="Y16" t="s">
        <v>110</v>
      </c>
      <c r="Z16" t="s">
        <v>111</v>
      </c>
    </row>
    <row r="17" spans="1:26" x14ac:dyDescent="0.2">
      <c r="A17" s="2" t="s">
        <v>76</v>
      </c>
      <c r="C17" s="2" t="s">
        <v>10</v>
      </c>
      <c r="D17" s="2" t="s">
        <v>13</v>
      </c>
      <c r="E17" s="2" t="s">
        <v>16</v>
      </c>
      <c r="F17" s="2" t="s">
        <v>19</v>
      </c>
      <c r="G17" s="2" t="s">
        <v>22</v>
      </c>
      <c r="H17" s="2" t="s">
        <v>25</v>
      </c>
      <c r="I17" s="2" t="s">
        <v>28</v>
      </c>
      <c r="J17" s="2" t="s">
        <v>31</v>
      </c>
      <c r="K17" s="2" t="s">
        <v>34</v>
      </c>
      <c r="L17" s="2" t="s">
        <v>37</v>
      </c>
      <c r="M17" s="2" t="s">
        <v>38</v>
      </c>
      <c r="N17" s="2" t="s">
        <v>78</v>
      </c>
      <c r="O17" s="2" t="s">
        <v>43</v>
      </c>
      <c r="P17" s="2" t="s">
        <v>41</v>
      </c>
      <c r="Q17" s="2" t="s">
        <v>94</v>
      </c>
      <c r="R17" s="2" t="s">
        <v>121</v>
      </c>
      <c r="S17" s="2" t="s">
        <v>121</v>
      </c>
      <c r="T17" s="2"/>
      <c r="U17" s="2" t="s">
        <v>76</v>
      </c>
      <c r="W17" t="s">
        <v>108</v>
      </c>
      <c r="X17" t="s">
        <v>108</v>
      </c>
      <c r="Y17" t="s">
        <v>108</v>
      </c>
      <c r="Z17" t="s">
        <v>108</v>
      </c>
    </row>
    <row r="18" spans="1:26" x14ac:dyDescent="0.2">
      <c r="A18" s="2" t="s">
        <v>79</v>
      </c>
      <c r="C18" s="5" t="s">
        <v>80</v>
      </c>
      <c r="D18" s="5" t="s">
        <v>81</v>
      </c>
      <c r="E18" s="5" t="s">
        <v>82</v>
      </c>
      <c r="F18" s="5" t="s">
        <v>80</v>
      </c>
      <c r="G18" s="5" t="s">
        <v>81</v>
      </c>
      <c r="H18" s="5" t="s">
        <v>82</v>
      </c>
      <c r="I18" s="5" t="s">
        <v>81</v>
      </c>
      <c r="J18" s="5" t="s">
        <v>80</v>
      </c>
      <c r="K18" s="5" t="s">
        <v>83</v>
      </c>
      <c r="L18" s="5" t="s">
        <v>84</v>
      </c>
      <c r="M18" s="5" t="s">
        <v>82</v>
      </c>
      <c r="N18" s="5" t="s">
        <v>85</v>
      </c>
      <c r="O18" s="5" t="s">
        <v>85</v>
      </c>
      <c r="P18" s="5" t="s">
        <v>90</v>
      </c>
      <c r="Q18" s="18">
        <v>42746</v>
      </c>
      <c r="R18" s="18">
        <v>43203</v>
      </c>
      <c r="S18" s="18">
        <v>43203</v>
      </c>
      <c r="T18" s="18"/>
      <c r="U18" s="2" t="s">
        <v>79</v>
      </c>
      <c r="W18" s="18">
        <v>43106</v>
      </c>
      <c r="X18" s="18">
        <v>43106</v>
      </c>
      <c r="Y18" s="18">
        <v>43106</v>
      </c>
      <c r="Z18" s="18">
        <v>43106</v>
      </c>
    </row>
    <row r="20" spans="1:26" x14ac:dyDescent="0.2">
      <c r="A20" s="2" t="s">
        <v>86</v>
      </c>
    </row>
  </sheetData>
  <conditionalFormatting sqref="C13:T1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:F1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3:N1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3:T1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3:Z13 C13:T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3:Z13 P13:T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StCurves QS5 Berta</vt:lpstr>
      <vt:lpstr>Berta_2022</vt:lpstr>
      <vt:lpstr>Berta_2017</vt:lpstr>
      <vt:lpstr>384Vonaesh_2022</vt:lpstr>
      <vt:lpstr>StCurves Bellinda</vt:lpstr>
      <vt:lpstr>Bellinda_2017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</dc:creator>
  <cp:lastModifiedBy>Lucie Kesner</cp:lastModifiedBy>
  <dcterms:created xsi:type="dcterms:W3CDTF">2017-09-22T13:32:19Z</dcterms:created>
  <dcterms:modified xsi:type="dcterms:W3CDTF">2023-08-25T11:32:05Z</dcterms:modified>
</cp:coreProperties>
</file>